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aqus_Projects\04_2D_Truss\"/>
    </mc:Choice>
  </mc:AlternateContent>
  <xr:revisionPtr revIDLastSave="0" documentId="8_{8DC60655-D09F-438A-948C-815949A161F6}" xr6:coauthVersionLast="47" xr6:coauthVersionMax="47" xr10:uidLastSave="{00000000-0000-0000-0000-000000000000}"/>
  <bookViews>
    <workbookView xWindow="-108" yWindow="-108" windowWidth="23256" windowHeight="12456" xr2:uid="{1C003795-A4FD-42A8-AC3F-6A9D6FE8F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2" i="1" l="1" a="1"/>
  <c r="C112" i="1" s="1"/>
  <c r="E16" i="1"/>
  <c r="E20" i="1" s="1"/>
  <c r="B20" i="1"/>
  <c r="B18" i="1"/>
  <c r="B22" i="1"/>
  <c r="G134" i="1"/>
  <c r="G135" i="1"/>
  <c r="G136" i="1"/>
  <c r="G138" i="1"/>
  <c r="G139" i="1"/>
  <c r="G132" i="1"/>
  <c r="J112" i="1"/>
  <c r="J115" i="1"/>
  <c r="J114" i="1"/>
  <c r="J113" i="1"/>
  <c r="U98" i="1"/>
  <c r="U97" i="1"/>
  <c r="U96" i="1"/>
  <c r="U95" i="1"/>
  <c r="N102" i="1"/>
  <c r="N101" i="1"/>
  <c r="N100" i="1"/>
  <c r="N99" i="1"/>
  <c r="N98" i="1"/>
  <c r="N97" i="1"/>
  <c r="N96" i="1"/>
  <c r="N95" i="1"/>
  <c r="S84" i="1"/>
  <c r="S83" i="1"/>
  <c r="S82" i="1"/>
  <c r="S81" i="1"/>
  <c r="S80" i="1"/>
  <c r="S79" i="1"/>
  <c r="S78" i="1"/>
  <c r="S77" i="1"/>
  <c r="P76" i="1"/>
  <c r="P75" i="1"/>
  <c r="P74" i="1"/>
  <c r="P73" i="1"/>
  <c r="N78" i="1"/>
  <c r="N77" i="1"/>
  <c r="N76" i="1"/>
  <c r="S115" i="1" s="1"/>
  <c r="N75" i="1"/>
  <c r="S114" i="1" s="1"/>
  <c r="N74" i="1"/>
  <c r="S113" i="1" s="1"/>
  <c r="N73" i="1"/>
  <c r="S112" i="1" s="1"/>
  <c r="M78" i="1"/>
  <c r="M77" i="1"/>
  <c r="M76" i="1"/>
  <c r="R115" i="1" s="1"/>
  <c r="M75" i="1"/>
  <c r="R114" i="1" s="1"/>
  <c r="M74" i="1"/>
  <c r="R113" i="1" s="1"/>
  <c r="M73" i="1"/>
  <c r="R112" i="1" s="1"/>
  <c r="L76" i="1"/>
  <c r="Q115" i="1" s="1"/>
  <c r="L75" i="1"/>
  <c r="Q114" i="1" s="1"/>
  <c r="L74" i="1"/>
  <c r="Q113" i="1" s="1"/>
  <c r="L73" i="1"/>
  <c r="Q112" i="1" s="1"/>
  <c r="K76" i="1"/>
  <c r="P115" i="1" s="1"/>
  <c r="K75" i="1"/>
  <c r="P114" i="1" s="1"/>
  <c r="K74" i="1"/>
  <c r="P113" i="1" s="1"/>
  <c r="K73" i="1"/>
  <c r="P112" i="1" s="1"/>
  <c r="H84" i="1"/>
  <c r="H83" i="1"/>
  <c r="G84" i="1"/>
  <c r="G83" i="1"/>
  <c r="F84" i="1"/>
  <c r="S102" i="1" s="1"/>
  <c r="F83" i="1"/>
  <c r="S101" i="1" s="1"/>
  <c r="F82" i="1"/>
  <c r="S100" i="1" s="1"/>
  <c r="F81" i="1"/>
  <c r="S99" i="1" s="1"/>
  <c r="E84" i="1"/>
  <c r="R102" i="1" s="1"/>
  <c r="E83" i="1"/>
  <c r="R101" i="1" s="1"/>
  <c r="E82" i="1"/>
  <c r="R100" i="1" s="1"/>
  <c r="E81" i="1"/>
  <c r="R99" i="1" s="1"/>
  <c r="D84" i="1"/>
  <c r="Q102" i="1" s="1"/>
  <c r="D83" i="1"/>
  <c r="Q101" i="1" s="1"/>
  <c r="D82" i="1"/>
  <c r="Q100" i="1" s="1"/>
  <c r="D81" i="1"/>
  <c r="Q99" i="1" s="1"/>
  <c r="C84" i="1"/>
  <c r="P102" i="1" s="1"/>
  <c r="C83" i="1"/>
  <c r="P101" i="1" s="1"/>
  <c r="C82" i="1"/>
  <c r="P100" i="1" s="1"/>
  <c r="C81" i="1"/>
  <c r="P99" i="1" s="1"/>
  <c r="F78" i="1"/>
  <c r="S96" i="1" s="1"/>
  <c r="F77" i="1"/>
  <c r="S95" i="1" s="1"/>
  <c r="E78" i="1"/>
  <c r="R96" i="1" s="1"/>
  <c r="E77" i="1"/>
  <c r="R95" i="1" s="1"/>
  <c r="H76" i="1"/>
  <c r="M115" i="1" s="1"/>
  <c r="H75" i="1"/>
  <c r="M114" i="1" s="1"/>
  <c r="G76" i="1"/>
  <c r="L115" i="1" s="1"/>
  <c r="G75" i="1"/>
  <c r="L114" i="1" s="1"/>
  <c r="D76" i="1"/>
  <c r="F115" i="1" s="1"/>
  <c r="D75" i="1"/>
  <c r="F114" i="1" s="1"/>
  <c r="C76" i="1"/>
  <c r="E115" i="1" s="1"/>
  <c r="C75" i="1"/>
  <c r="E114" i="1" s="1"/>
  <c r="F74" i="1"/>
  <c r="H113" i="1" s="1"/>
  <c r="F73" i="1"/>
  <c r="H112" i="1" s="1"/>
  <c r="E74" i="1"/>
  <c r="G113" i="1" s="1"/>
  <c r="E73" i="1"/>
  <c r="G112" i="1" s="1"/>
  <c r="G18" i="1"/>
  <c r="H18" i="1"/>
  <c r="I18" i="1"/>
  <c r="B21" i="1"/>
  <c r="H21" i="1" s="1"/>
  <c r="B19" i="1"/>
  <c r="G19" i="1" s="1"/>
  <c r="B17" i="1"/>
  <c r="G17" i="1" s="1"/>
  <c r="B15" i="1"/>
  <c r="I15" i="1" s="1"/>
  <c r="D16" i="1"/>
  <c r="I133" i="1" s="1"/>
  <c r="D17" i="1"/>
  <c r="I134" i="1" s="1"/>
  <c r="D18" i="1"/>
  <c r="F18" i="1" s="1"/>
  <c r="D19" i="1"/>
  <c r="I136" i="1" s="1"/>
  <c r="D20" i="1"/>
  <c r="I137" i="1" s="1"/>
  <c r="D21" i="1"/>
  <c r="I138" i="1" s="1"/>
  <c r="D22" i="1"/>
  <c r="F22" i="1" s="1"/>
  <c r="D15" i="1"/>
  <c r="F15" i="1" s="1"/>
  <c r="H20" i="1"/>
  <c r="B16" i="1"/>
  <c r="I16" i="1" s="1"/>
  <c r="G15" i="1" l="1"/>
  <c r="H15" i="1"/>
  <c r="F19" i="1"/>
  <c r="F17" i="1"/>
  <c r="D133" i="1"/>
  <c r="D134" i="1"/>
  <c r="F20" i="1"/>
  <c r="K20" i="1" s="1"/>
  <c r="H17" i="1"/>
  <c r="I135" i="1"/>
  <c r="G16" i="1"/>
  <c r="D132" i="1"/>
  <c r="G133" i="1"/>
  <c r="I17" i="1"/>
  <c r="L17" i="1" s="1"/>
  <c r="I132" i="1"/>
  <c r="I139" i="1"/>
  <c r="F21" i="1"/>
  <c r="K21" i="1" s="1"/>
  <c r="G137" i="1"/>
  <c r="J15" i="1"/>
  <c r="D43" i="1" s="1"/>
  <c r="L18" i="1"/>
  <c r="K18" i="1"/>
  <c r="H19" i="1"/>
  <c r="K19" i="1" s="1"/>
  <c r="H16" i="1"/>
  <c r="I20" i="1"/>
  <c r="L20" i="1" s="1"/>
  <c r="J19" i="1"/>
  <c r="D57" i="1" s="1"/>
  <c r="J18" i="1"/>
  <c r="H48" i="1" s="1"/>
  <c r="I21" i="1"/>
  <c r="G21" i="1"/>
  <c r="I19" i="1"/>
  <c r="L19" i="1" s="1"/>
  <c r="J17" i="1"/>
  <c r="F16" i="1"/>
  <c r="G20" i="1"/>
  <c r="J20" i="1" s="1"/>
  <c r="K15" i="1"/>
  <c r="L15" i="1"/>
  <c r="K17" i="1" l="1"/>
  <c r="E49" i="1" s="1"/>
  <c r="J21" i="1"/>
  <c r="D65" i="1" s="1"/>
  <c r="L21" i="1"/>
  <c r="C49" i="1"/>
  <c r="F76" i="1" s="1"/>
  <c r="H115" i="1" s="1"/>
  <c r="E48" i="1"/>
  <c r="C48" i="1"/>
  <c r="B49" i="1" s="1"/>
  <c r="E76" i="1" s="1"/>
  <c r="G115" i="1" s="1"/>
  <c r="E50" i="1"/>
  <c r="D51" i="1" s="1"/>
  <c r="D49" i="1"/>
  <c r="C50" i="1" s="1"/>
  <c r="F79" i="1" s="1"/>
  <c r="S97" i="1" s="1"/>
  <c r="B41" i="1"/>
  <c r="D41" i="1"/>
  <c r="E51" i="1"/>
  <c r="C51" i="1"/>
  <c r="F80" i="1" s="1"/>
  <c r="S98" i="1" s="1"/>
  <c r="J76" i="1"/>
  <c r="O115" i="1" s="1"/>
  <c r="F75" i="1"/>
  <c r="H114" i="1" s="1"/>
  <c r="B43" i="1"/>
  <c r="C77" i="1" s="1"/>
  <c r="P95" i="1" s="1"/>
  <c r="G73" i="1"/>
  <c r="L112" i="1" s="1"/>
  <c r="I55" i="1"/>
  <c r="K55" i="1"/>
  <c r="J81" i="1" s="1"/>
  <c r="J56" i="1"/>
  <c r="I82" i="1" s="1"/>
  <c r="K57" i="1"/>
  <c r="J58" i="1" s="1"/>
  <c r="J57" i="1"/>
  <c r="J55" i="1"/>
  <c r="D63" i="1"/>
  <c r="B63" i="1"/>
  <c r="C64" i="1"/>
  <c r="E66" i="1"/>
  <c r="E64" i="1"/>
  <c r="C63" i="1"/>
  <c r="B64" i="1" s="1"/>
  <c r="E65" i="1"/>
  <c r="D66" i="1" s="1"/>
  <c r="E63" i="1"/>
  <c r="D64" i="1"/>
  <c r="I56" i="1"/>
  <c r="K56" i="1"/>
  <c r="J82" i="1" s="1"/>
  <c r="K58" i="1"/>
  <c r="H58" i="1"/>
  <c r="K80" i="1" s="1"/>
  <c r="E55" i="1"/>
  <c r="E57" i="1"/>
  <c r="D58" i="1" s="1"/>
  <c r="C55" i="1"/>
  <c r="B56" i="1" s="1"/>
  <c r="D56" i="1"/>
  <c r="I49" i="1"/>
  <c r="K49" i="1"/>
  <c r="K51" i="1"/>
  <c r="E41" i="1"/>
  <c r="E43" i="1"/>
  <c r="D44" i="1" s="1"/>
  <c r="C41" i="1"/>
  <c r="D42" i="1"/>
  <c r="C56" i="1"/>
  <c r="E58" i="1"/>
  <c r="E56" i="1"/>
  <c r="E44" i="1"/>
  <c r="C42" i="1"/>
  <c r="E42" i="1"/>
  <c r="H55" i="1"/>
  <c r="K16" i="1"/>
  <c r="L16" i="1"/>
  <c r="J16" i="1"/>
  <c r="D50" i="1"/>
  <c r="D48" i="1"/>
  <c r="B48" i="1"/>
  <c r="E75" i="1" s="1"/>
  <c r="G114" i="1" s="1"/>
  <c r="J48" i="1"/>
  <c r="J50" i="1"/>
  <c r="K48" i="1"/>
  <c r="I48" i="1"/>
  <c r="K50" i="1"/>
  <c r="J51" i="1" s="1"/>
  <c r="J49" i="1"/>
  <c r="D55" i="1"/>
  <c r="B55" i="1"/>
  <c r="G77" i="1" s="1"/>
  <c r="I22" i="1"/>
  <c r="L22" i="1" s="1"/>
  <c r="H22" i="1"/>
  <c r="K22" i="1" s="1"/>
  <c r="G22" i="1"/>
  <c r="J22" i="1" s="1"/>
  <c r="I57" i="1" l="1"/>
  <c r="L79" i="1" s="1"/>
  <c r="I76" i="1"/>
  <c r="N115" i="1" s="1"/>
  <c r="B51" i="1"/>
  <c r="E80" i="1" s="1"/>
  <c r="R98" i="1" s="1"/>
  <c r="J75" i="1"/>
  <c r="O114" i="1" s="1"/>
  <c r="B44" i="1"/>
  <c r="C78" i="1" s="1"/>
  <c r="P96" i="1" s="1"/>
  <c r="H73" i="1"/>
  <c r="M112" i="1" s="1"/>
  <c r="B57" i="1"/>
  <c r="G81" i="1" s="1"/>
  <c r="K77" i="1"/>
  <c r="C44" i="1"/>
  <c r="D78" i="1" s="1"/>
  <c r="Q96" i="1" s="1"/>
  <c r="H74" i="1"/>
  <c r="M113" i="1" s="1"/>
  <c r="B58" i="1"/>
  <c r="G82" i="1" s="1"/>
  <c r="L77" i="1"/>
  <c r="B66" i="1"/>
  <c r="I84" i="1" s="1"/>
  <c r="N79" i="1"/>
  <c r="B65" i="1"/>
  <c r="I83" i="1" s="1"/>
  <c r="M79" i="1"/>
  <c r="C66" i="1"/>
  <c r="J84" i="1" s="1"/>
  <c r="N80" i="1"/>
  <c r="H78" i="1"/>
  <c r="I58" i="1"/>
  <c r="L80" i="1" s="1"/>
  <c r="C43" i="1"/>
  <c r="D77" i="1" s="1"/>
  <c r="Q95" i="1" s="1"/>
  <c r="G74" i="1"/>
  <c r="L113" i="1" s="1"/>
  <c r="B50" i="1"/>
  <c r="E79" i="1" s="1"/>
  <c r="R97" i="1" s="1"/>
  <c r="I75" i="1"/>
  <c r="N114" i="1" s="1"/>
  <c r="C58" i="1"/>
  <c r="H82" i="1" s="1"/>
  <c r="L78" i="1"/>
  <c r="C57" i="1"/>
  <c r="H81" i="1" s="1"/>
  <c r="K78" i="1"/>
  <c r="B42" i="1"/>
  <c r="C65" i="1"/>
  <c r="J83" i="1" s="1"/>
  <c r="M80" i="1"/>
  <c r="I50" i="1"/>
  <c r="H79" i="1" s="1"/>
  <c r="I78" i="1"/>
  <c r="H49" i="1"/>
  <c r="G78" i="1" s="1"/>
  <c r="H77" i="1"/>
  <c r="H51" i="1"/>
  <c r="G80" i="1" s="1"/>
  <c r="J77" i="1"/>
  <c r="I51" i="1"/>
  <c r="H80" i="1" s="1"/>
  <c r="J78" i="1"/>
  <c r="H50" i="1"/>
  <c r="G79" i="1" s="1"/>
  <c r="I77" i="1"/>
  <c r="H57" i="1"/>
  <c r="K79" i="1" s="1"/>
  <c r="I81" i="1"/>
  <c r="H56" i="1"/>
  <c r="H63" i="1"/>
  <c r="K81" i="1" s="1"/>
  <c r="J65" i="1"/>
  <c r="M83" i="1" s="1"/>
  <c r="J63" i="1"/>
  <c r="K66" i="1"/>
  <c r="N84" i="1" s="1"/>
  <c r="K64" i="1"/>
  <c r="I64" i="1"/>
  <c r="L82" i="1" s="1"/>
  <c r="I63" i="1"/>
  <c r="H64" i="1" s="1"/>
  <c r="K65" i="1"/>
  <c r="K63" i="1"/>
  <c r="J64" i="1"/>
  <c r="H41" i="1"/>
  <c r="C73" i="1" s="1"/>
  <c r="E112" i="1" s="1"/>
  <c r="J43" i="1"/>
  <c r="I79" i="1" s="1"/>
  <c r="J41" i="1"/>
  <c r="K43" i="1"/>
  <c r="J44" i="1" s="1"/>
  <c r="I80" i="1" s="1"/>
  <c r="I41" i="1"/>
  <c r="H42" i="1" s="1"/>
  <c r="J42" i="1"/>
  <c r="K41" i="1"/>
  <c r="I42" i="1"/>
  <c r="D74" i="1" s="1"/>
  <c r="F113" i="1" s="1"/>
  <c r="K42" i="1"/>
  <c r="K44" i="1"/>
  <c r="J80" i="1" s="1"/>
  <c r="C74" i="1" l="1"/>
  <c r="E113" i="1" s="1"/>
  <c r="H44" i="1"/>
  <c r="C80" i="1" s="1"/>
  <c r="P98" i="1" s="1"/>
  <c r="J73" i="1"/>
  <c r="O112" i="1" s="1"/>
  <c r="J79" i="1"/>
  <c r="I44" i="1"/>
  <c r="D80" i="1" s="1"/>
  <c r="Q98" i="1" s="1"/>
  <c r="J74" i="1"/>
  <c r="O113" i="1" s="1"/>
  <c r="I43" i="1"/>
  <c r="D79" i="1" s="1"/>
  <c r="Q97" i="1" s="1"/>
  <c r="I74" i="1"/>
  <c r="N113" i="1" s="1"/>
  <c r="D73" i="1"/>
  <c r="F112" i="1" s="1"/>
  <c r="H43" i="1"/>
  <c r="C79" i="1" s="1"/>
  <c r="P97" i="1" s="1"/>
  <c r="I73" i="1"/>
  <c r="N112" i="1" s="1"/>
  <c r="L81" i="1"/>
  <c r="K82" i="1"/>
  <c r="I66" i="1"/>
  <c r="L84" i="1" s="1"/>
  <c r="N82" i="1"/>
  <c r="H65" i="1"/>
  <c r="K83" i="1" s="1"/>
  <c r="M81" i="1"/>
  <c r="I65" i="1"/>
  <c r="L83" i="1" s="1"/>
  <c r="M82" i="1"/>
  <c r="H66" i="1"/>
  <c r="K84" i="1" s="1"/>
  <c r="N81" i="1"/>
  <c r="J66" i="1"/>
  <c r="M84" i="1" s="1"/>
  <c r="N83" i="1"/>
  <c r="E95" i="1" l="1" a="1"/>
  <c r="E95" i="1" l="1"/>
  <c r="C95" i="1" s="1" a="1"/>
  <c r="U113" i="1" l="1"/>
  <c r="U119" i="1"/>
  <c r="D139" i="1"/>
  <c r="E137" i="1"/>
  <c r="U117" i="1"/>
  <c r="E133" i="1"/>
  <c r="F133" i="1" s="1"/>
  <c r="H133" i="1" s="1"/>
  <c r="J133" i="1" s="1"/>
  <c r="K133" i="1" s="1"/>
  <c r="D137" i="1"/>
  <c r="E136" i="1"/>
  <c r="E139" i="1"/>
  <c r="E135" i="1"/>
  <c r="D138" i="1"/>
  <c r="C95" i="1"/>
  <c r="U115" i="1"/>
  <c r="E138" i="1"/>
  <c r="E134" i="1"/>
  <c r="F134" i="1" s="1"/>
  <c r="H134" i="1" s="1"/>
  <c r="J134" i="1" s="1"/>
  <c r="K134" i="1" s="1"/>
  <c r="U118" i="1"/>
  <c r="U114" i="1"/>
  <c r="U116" i="1"/>
  <c r="F138" i="1" l="1"/>
  <c r="H138" i="1" s="1"/>
  <c r="J138" i="1" s="1"/>
  <c r="K138" i="1" s="1"/>
  <c r="F137" i="1"/>
  <c r="H137" i="1" s="1"/>
  <c r="J137" i="1" s="1"/>
  <c r="K137" i="1" s="1"/>
  <c r="F139" i="1"/>
  <c r="H139" i="1" s="1"/>
  <c r="J139" i="1" s="1"/>
  <c r="K139" i="1" s="1"/>
  <c r="D136" i="1"/>
  <c r="F136" i="1" s="1"/>
  <c r="H136" i="1" s="1"/>
  <c r="J136" i="1" s="1"/>
  <c r="K136" i="1" s="1"/>
  <c r="U112" i="1"/>
  <c r="E132" i="1"/>
  <c r="F132" i="1" s="1"/>
  <c r="H132" i="1" s="1"/>
  <c r="J132" i="1" s="1"/>
  <c r="K132" i="1" s="1"/>
  <c r="D135" i="1"/>
  <c r="F135" i="1" s="1"/>
  <c r="H135" i="1" s="1"/>
  <c r="J135" i="1" s="1"/>
  <c r="K135" i="1" s="1"/>
  <c r="G122" i="1" l="1"/>
  <c r="H122" i="1" s="1"/>
  <c r="G123" i="1"/>
  <c r="H1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<sst xmlns="http://schemas.openxmlformats.org/spreadsheetml/2006/main" count="170" uniqueCount="96">
  <si>
    <t>Element 1</t>
  </si>
  <si>
    <t>Element 2</t>
  </si>
  <si>
    <t>Element 3</t>
  </si>
  <si>
    <t>Element 4</t>
  </si>
  <si>
    <t>Element 5</t>
  </si>
  <si>
    <t>Element 6</t>
  </si>
  <si>
    <t>Element 7</t>
  </si>
  <si>
    <t>Element 8</t>
  </si>
  <si>
    <t>θ(rad)</t>
  </si>
  <si>
    <t>A</t>
  </si>
  <si>
    <t>E</t>
  </si>
  <si>
    <t>L</t>
  </si>
  <si>
    <t>k</t>
  </si>
  <si>
    <t>c²</t>
  </si>
  <si>
    <t>s²</t>
  </si>
  <si>
    <t>sc</t>
  </si>
  <si>
    <t>k*c²</t>
  </si>
  <si>
    <t>k*s²</t>
  </si>
  <si>
    <t>k*sc</t>
  </si>
  <si>
    <t>K1</t>
  </si>
  <si>
    <t>K2</t>
  </si>
  <si>
    <t>K3</t>
  </si>
  <si>
    <t>K4</t>
  </si>
  <si>
    <t>K5</t>
  </si>
  <si>
    <t>K6</t>
  </si>
  <si>
    <t>K7</t>
  </si>
  <si>
    <t>K8</t>
  </si>
  <si>
    <t>1↓</t>
  </si>
  <si>
    <t>2↓</t>
  </si>
  <si>
    <t>5↓</t>
  </si>
  <si>
    <t>6↓</t>
  </si>
  <si>
    <t>1→</t>
  </si>
  <si>
    <t>2→</t>
  </si>
  <si>
    <t>5→</t>
  </si>
  <si>
    <t>6→</t>
  </si>
  <si>
    <t>7↓</t>
  </si>
  <si>
    <t>8↓</t>
  </si>
  <si>
    <t>7→</t>
  </si>
  <si>
    <t>8→</t>
  </si>
  <si>
    <t>3↓</t>
  </si>
  <si>
    <t>4↓</t>
  </si>
  <si>
    <t>3→</t>
  </si>
  <si>
    <t>4→</t>
  </si>
  <si>
    <t>9↓</t>
  </si>
  <si>
    <t>10↓</t>
  </si>
  <si>
    <t>9→</t>
  </si>
  <si>
    <t>10→</t>
  </si>
  <si>
    <t>11↓</t>
  </si>
  <si>
    <t>12↓</t>
  </si>
  <si>
    <t>11→</t>
  </si>
  <si>
    <t>12→</t>
  </si>
  <si>
    <t>K</t>
  </si>
  <si>
    <t>U</t>
  </si>
  <si>
    <t>U5</t>
  </si>
  <si>
    <t>U6</t>
  </si>
  <si>
    <t>U7</t>
  </si>
  <si>
    <t>U8</t>
  </si>
  <si>
    <t>U9</t>
  </si>
  <si>
    <t>U10</t>
  </si>
  <si>
    <t>U11</t>
  </si>
  <si>
    <t>U12</t>
  </si>
  <si>
    <t>F</t>
  </si>
  <si>
    <t>F1</t>
  </si>
  <si>
    <t>F2</t>
  </si>
  <si>
    <t>F3</t>
  </si>
  <si>
    <t>F4</t>
  </si>
  <si>
    <t>U1</t>
  </si>
  <si>
    <t>U2</t>
  </si>
  <si>
    <t>U3</t>
  </si>
  <si>
    <t>U4</t>
  </si>
  <si>
    <t>F5</t>
  </si>
  <si>
    <t>F6</t>
  </si>
  <si>
    <t>F7</t>
  </si>
  <si>
    <t>F8</t>
  </si>
  <si>
    <t>Ua</t>
  </si>
  <si>
    <t>[Kaa]^-1</t>
  </si>
  <si>
    <t>Fa</t>
  </si>
  <si>
    <t>Kac</t>
  </si>
  <si>
    <t>Uc</t>
  </si>
  <si>
    <t>=</t>
  </si>
  <si>
    <t>Fc</t>
  </si>
  <si>
    <t>Kcc</t>
  </si>
  <si>
    <t>Kca</t>
  </si>
  <si>
    <t>Sum of all forces in the global X direction</t>
  </si>
  <si>
    <t>Sum of all forces in the global Y direction</t>
  </si>
  <si>
    <t>EQUILIBRIUM VERIFICATION</t>
  </si>
  <si>
    <t>u1</t>
  </si>
  <si>
    <t>u2</t>
  </si>
  <si>
    <t>u2-u1</t>
  </si>
  <si>
    <t>Strain</t>
  </si>
  <si>
    <t>Stress</t>
  </si>
  <si>
    <t>Force</t>
  </si>
  <si>
    <t>X</t>
  </si>
  <si>
    <t>-</t>
  </si>
  <si>
    <t>+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</si>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</sst>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1" fontId="0" fillId="0" borderId="1" xfId="0" applyNumberFormat="1" applyBorder="1"/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 readingOrder="1"/>
    </xf>
    <xf numFmtId="2" fontId="0" fillId="3" borderId="1" xfId="0" applyNumberForma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2" fontId="2" fillId="6" borderId="1" xfId="0" applyNumberFormat="1" applyFont="1" applyFill="1" applyBorder="1" applyAlignment="1">
      <alignment horizontal="center" vertical="center" wrapText="1" readingOrder="1"/>
    </xf>
    <xf numFmtId="2" fontId="0" fillId="6" borderId="1" xfId="0" applyNumberFormat="1" applyFill="1" applyBorder="1" applyAlignment="1">
      <alignment horizontal="center" vertical="center"/>
    </xf>
    <xf numFmtId="11" fontId="0" fillId="6" borderId="1" xfId="0" applyNumberForma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5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7.png"/><Relationship Id="rId18" Type="http://schemas.openxmlformats.org/officeDocument/2006/relationships/image" Target="../media/image11.png"/><Relationship Id="rId26" Type="http://schemas.openxmlformats.org/officeDocument/2006/relationships/customXml" Target="../ink/ink11.xml"/><Relationship Id="rId3" Type="http://schemas.openxmlformats.org/officeDocument/2006/relationships/image" Target="../media/image2.png"/><Relationship Id="rId21" Type="http://schemas.openxmlformats.org/officeDocument/2006/relationships/image" Target="../media/image13.png"/><Relationship Id="rId7" Type="http://schemas.openxmlformats.org/officeDocument/2006/relationships/image" Target="../media/image4.png"/><Relationship Id="rId12" Type="http://schemas.openxmlformats.org/officeDocument/2006/relationships/customXml" Target="../ink/ink6.xml"/><Relationship Id="rId17" Type="http://schemas.openxmlformats.org/officeDocument/2006/relationships/customXml" Target="../ink/ink7.xml"/><Relationship Id="rId25" Type="http://schemas.openxmlformats.org/officeDocument/2006/relationships/image" Target="../media/image15.png"/><Relationship Id="rId2" Type="http://schemas.openxmlformats.org/officeDocument/2006/relationships/customXml" Target="../ink/ink1.xml"/><Relationship Id="rId16" Type="http://schemas.openxmlformats.org/officeDocument/2006/relationships/image" Target="../media/image10.png"/><Relationship Id="rId20" Type="http://schemas.openxmlformats.org/officeDocument/2006/relationships/image" Target="../media/image12.png"/><Relationship Id="rId29" Type="http://schemas.openxmlformats.org/officeDocument/2006/relationships/image" Target="../media/image17.png"/><Relationship Id="rId1" Type="http://schemas.openxmlformats.org/officeDocument/2006/relationships/image" Target="../media/image1.gif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24" Type="http://schemas.openxmlformats.org/officeDocument/2006/relationships/customXml" Target="../ink/ink10.xml"/><Relationship Id="rId5" Type="http://schemas.openxmlformats.org/officeDocument/2006/relationships/image" Target="../media/image3.png"/><Relationship Id="rId15" Type="http://schemas.openxmlformats.org/officeDocument/2006/relationships/image" Target="../media/image9.png"/><Relationship Id="rId23" Type="http://schemas.openxmlformats.org/officeDocument/2006/relationships/image" Target="../media/image14.png"/><Relationship Id="rId28" Type="http://schemas.openxmlformats.org/officeDocument/2006/relationships/customXml" Target="../ink/ink12.xml"/><Relationship Id="rId10" Type="http://schemas.openxmlformats.org/officeDocument/2006/relationships/customXml" Target="../ink/ink5.xml"/><Relationship Id="rId19" Type="http://schemas.openxmlformats.org/officeDocument/2006/relationships/customXml" Target="../ink/ink8.xml"/><Relationship Id="rId31" Type="http://schemas.openxmlformats.org/officeDocument/2006/relationships/image" Target="../media/image19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image" Target="../media/image8.png"/><Relationship Id="rId22" Type="http://schemas.openxmlformats.org/officeDocument/2006/relationships/customXml" Target="../ink/ink9.xml"/><Relationship Id="rId27" Type="http://schemas.openxmlformats.org/officeDocument/2006/relationships/image" Target="../media/image16.png"/><Relationship Id="rId30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7620</xdr:colOff>
      <xdr:row>14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E00B5-F50A-FD98-4B68-38E389C7F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9600</xdr:colOff>
      <xdr:row>71</xdr:row>
      <xdr:rowOff>9920</xdr:rowOff>
    </xdr:from>
    <xdr:to>
      <xdr:col>6</xdr:col>
      <xdr:colOff>20760</xdr:colOff>
      <xdr:row>83</xdr:row>
      <xdr:rowOff>89582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8A034EE-0D99-E933-9D50-B29512F1DC3E}"/>
                </a:ext>
              </a:extLst>
            </xdr14:cNvPr>
            <xdr14:cNvContentPartPr/>
          </xdr14:nvContentPartPr>
          <xdr14:nvPr macro=""/>
          <xdr14:xfrm>
            <a:off x="4093920" y="3261120"/>
            <a:ext cx="11160" cy="23468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8A034EE-0D99-E933-9D50-B29512F1DC3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087800" y="3254980"/>
              <a:ext cx="23400" cy="23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9960</xdr:colOff>
      <xdr:row>83</xdr:row>
      <xdr:rowOff>162200</xdr:rowOff>
    </xdr:from>
    <xdr:to>
      <xdr:col>6</xdr:col>
      <xdr:colOff>10320</xdr:colOff>
      <xdr:row>83</xdr:row>
      <xdr:rowOff>162560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2F909C4E-3E8B-1B2C-BB4A-06ED61ACAD04}"/>
                </a:ext>
              </a:extLst>
            </xdr14:cNvPr>
            <xdr14:cNvContentPartPr/>
          </xdr14:nvContentPartPr>
          <xdr14:nvPr macro=""/>
          <xdr14:xfrm>
            <a:off x="4094280" y="560796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909C4E-3E8B-1B2C-BB4A-06ED61ACAD0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088160" y="5601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10040</xdr:colOff>
      <xdr:row>76</xdr:row>
      <xdr:rowOff>2247</xdr:rowOff>
    </xdr:from>
    <xdr:to>
      <xdr:col>14</xdr:col>
      <xdr:colOff>30079</xdr:colOff>
      <xdr:row>76</xdr:row>
      <xdr:rowOff>6292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2C1F4F4-8345-C59C-D352-A744853C28A7}"/>
                </a:ext>
              </a:extLst>
            </xdr14:cNvPr>
            <xdr14:cNvContentPartPr/>
          </xdr14:nvContentPartPr>
          <xdr14:nvPr macro=""/>
          <xdr14:xfrm>
            <a:off x="691829" y="4113036"/>
            <a:ext cx="10818382" cy="4045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2C1F4F4-8345-C59C-D352-A744853C28A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85709" y="4044271"/>
              <a:ext cx="10830622" cy="1415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10120</xdr:colOff>
      <xdr:row>76</xdr:row>
      <xdr:rowOff>2247</xdr:rowOff>
    </xdr:from>
    <xdr:to>
      <xdr:col>16</xdr:col>
      <xdr:colOff>0</xdr:colOff>
      <xdr:row>76</xdr:row>
      <xdr:rowOff>6292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AE43C624-1A15-E607-8A3D-C3F8E568AA44}"/>
                </a:ext>
              </a:extLst>
            </xdr14:cNvPr>
            <xdr14:cNvContentPartPr/>
          </xdr14:nvContentPartPr>
          <xdr14:nvPr macro=""/>
          <xdr14:xfrm>
            <a:off x="12141962" y="4113036"/>
            <a:ext cx="651617" cy="4045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AE43C624-1A15-E607-8A3D-C3F8E568AA4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135825" y="4044271"/>
              <a:ext cx="663891" cy="1415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20040</xdr:colOff>
      <xdr:row>76</xdr:row>
      <xdr:rowOff>20000</xdr:rowOff>
    </xdr:from>
    <xdr:to>
      <xdr:col>18</xdr:col>
      <xdr:colOff>612027</xdr:colOff>
      <xdr:row>76</xdr:row>
      <xdr:rowOff>20720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43FD3592-3BE7-847F-50FA-F65EDC1914D6}"/>
                </a:ext>
              </a:extLst>
            </xdr14:cNvPr>
            <xdr14:cNvContentPartPr/>
          </xdr14:nvContentPartPr>
          <xdr14:nvPr macro=""/>
          <xdr14:xfrm>
            <a:off x="12059640" y="4185600"/>
            <a:ext cx="590400" cy="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43FD3592-3BE7-847F-50FA-F65EDC1914D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053520" y="4173360"/>
              <a:ext cx="6026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223640</xdr:colOff>
      <xdr:row>94</xdr:row>
      <xdr:rowOff>91280</xdr:rowOff>
    </xdr:from>
    <xdr:to>
      <xdr:col>4</xdr:col>
      <xdr:colOff>224000</xdr:colOff>
      <xdr:row>94</xdr:row>
      <xdr:rowOff>91640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D3D1B21E-75AF-CFA6-B503-FAEBDC7CD28B}"/>
                </a:ext>
              </a:extLst>
            </xdr14:cNvPr>
            <xdr14:cNvContentPartPr/>
          </xdr14:nvContentPartPr>
          <xdr14:nvPr macro=""/>
          <xdr14:xfrm>
            <a:off x="2225160" y="663432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D3D1B21E-75AF-CFA6-B503-FAEBDC7CD28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219040" y="6628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0</xdr:colOff>
      <xdr:row>131</xdr:row>
      <xdr:rowOff>0</xdr:rowOff>
    </xdr:from>
    <xdr:ext cx="7620" cy="7620"/>
    <xdr:pic>
      <xdr:nvPicPr>
        <xdr:cNvPr id="19" name="Picture 18">
          <a:extLst>
            <a:ext uri="{FF2B5EF4-FFF2-40B4-BE49-F238E27FC236}">
              <a16:creationId xmlns:a16="http://schemas.microsoft.com/office/drawing/2014/main" id="{79E06EED-521B-4D28-AA4D-1AD320047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917" y="232833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445478</xdr:colOff>
      <xdr:row>1</xdr:row>
      <xdr:rowOff>35171</xdr:rowOff>
    </xdr:from>
    <xdr:to>
      <xdr:col>5</xdr:col>
      <xdr:colOff>539372</xdr:colOff>
      <xdr:row>12</xdr:row>
      <xdr:rowOff>23446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A71538-9D54-A253-B8AE-6025FD99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140" y="222740"/>
          <a:ext cx="3294294" cy="2051537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0</xdr:row>
      <xdr:rowOff>152400</xdr:rowOff>
    </xdr:from>
    <xdr:to>
      <xdr:col>10</xdr:col>
      <xdr:colOff>473834</xdr:colOff>
      <xdr:row>11</xdr:row>
      <xdr:rowOff>105507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BAB88E1-2E7D-95EA-72E2-172266A2E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3262" y="152400"/>
          <a:ext cx="3064634" cy="2016369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26</xdr:row>
      <xdr:rowOff>126777</xdr:rowOff>
    </xdr:from>
    <xdr:to>
      <xdr:col>8</xdr:col>
      <xdr:colOff>301869</xdr:colOff>
      <xdr:row>37</xdr:row>
      <xdr:rowOff>2494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8F62A67-5CEB-3FA4-5B81-56965480E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0892" y="314346"/>
          <a:ext cx="4712677" cy="1938979"/>
        </a:xfrm>
        <a:prstGeom prst="rect">
          <a:avLst/>
        </a:prstGeom>
      </xdr:spPr>
    </xdr:pic>
    <xdr:clientData/>
  </xdr:twoCellAnchor>
  <xdr:oneCellAnchor>
    <xdr:from>
      <xdr:col>3</xdr:col>
      <xdr:colOff>832338</xdr:colOff>
      <xdr:row>67</xdr:row>
      <xdr:rowOff>152400</xdr:rowOff>
    </xdr:from>
    <xdr:ext cx="832337" cy="58927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0FE3DCC-2F08-3674-5458-AED46B34D126}"/>
            </a:ext>
          </a:extLst>
        </xdr:cNvPr>
        <xdr:cNvSpPr txBox="1"/>
      </xdr:nvSpPr>
      <xdr:spPr>
        <a:xfrm>
          <a:off x="2895600" y="5439508"/>
          <a:ext cx="832337" cy="5892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800"/>
            <a:t>Kcc</a:t>
          </a:r>
        </a:p>
      </xdr:txBody>
    </xdr:sp>
    <xdr:clientData/>
  </xdr:oneCellAnchor>
  <xdr:oneCellAnchor>
    <xdr:from>
      <xdr:col>9</xdr:col>
      <xdr:colOff>832337</xdr:colOff>
      <xdr:row>67</xdr:row>
      <xdr:rowOff>140677</xdr:rowOff>
    </xdr:from>
    <xdr:ext cx="750277" cy="5658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FD8EB33-B7AD-8496-33DC-A300BC0AC69F}"/>
            </a:ext>
          </a:extLst>
        </xdr:cNvPr>
        <xdr:cNvSpPr txBox="1"/>
      </xdr:nvSpPr>
      <xdr:spPr>
        <a:xfrm>
          <a:off x="8381999" y="5427785"/>
          <a:ext cx="750277" cy="5658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800"/>
            <a:t>Kca</a:t>
          </a:r>
        </a:p>
      </xdr:txBody>
    </xdr:sp>
    <xdr:clientData/>
  </xdr:oneCellAnchor>
  <xdr:oneCellAnchor>
    <xdr:from>
      <xdr:col>3</xdr:col>
      <xdr:colOff>832338</xdr:colOff>
      <xdr:row>83</xdr:row>
      <xdr:rowOff>140677</xdr:rowOff>
    </xdr:from>
    <xdr:ext cx="977144" cy="63616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3637935-6CDF-1B88-EA53-15FA2A049867}"/>
            </a:ext>
          </a:extLst>
        </xdr:cNvPr>
        <xdr:cNvSpPr txBox="1"/>
      </xdr:nvSpPr>
      <xdr:spPr>
        <a:xfrm>
          <a:off x="2895600" y="8428892"/>
          <a:ext cx="977144" cy="6361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800"/>
            <a:t>Kac</a:t>
          </a:r>
        </a:p>
      </xdr:txBody>
    </xdr:sp>
    <xdr:clientData/>
  </xdr:oneCellAnchor>
  <xdr:oneCellAnchor>
    <xdr:from>
      <xdr:col>9</xdr:col>
      <xdr:colOff>832339</xdr:colOff>
      <xdr:row>83</xdr:row>
      <xdr:rowOff>117231</xdr:rowOff>
    </xdr:from>
    <xdr:ext cx="862734" cy="683058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DFF8D45-0601-5516-818D-1E38F1163834}"/>
            </a:ext>
          </a:extLst>
        </xdr:cNvPr>
        <xdr:cNvSpPr txBox="1"/>
      </xdr:nvSpPr>
      <xdr:spPr>
        <a:xfrm>
          <a:off x="8382001" y="8405446"/>
          <a:ext cx="862734" cy="683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800"/>
            <a:t>Kaa</a:t>
          </a:r>
        </a:p>
      </xdr:txBody>
    </xdr:sp>
    <xdr:clientData/>
  </xdr:oneCellAnchor>
  <xdr:oneCellAnchor>
    <xdr:from>
      <xdr:col>14</xdr:col>
      <xdr:colOff>58616</xdr:colOff>
      <xdr:row>72</xdr:row>
      <xdr:rowOff>128954</xdr:rowOff>
    </xdr:from>
    <xdr:ext cx="579646" cy="530658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17C98CF-3353-8963-4C43-3096B057F284}"/>
            </a:ext>
          </a:extLst>
        </xdr:cNvPr>
        <xdr:cNvSpPr txBox="1"/>
      </xdr:nvSpPr>
      <xdr:spPr>
        <a:xfrm>
          <a:off x="11582401" y="6353908"/>
          <a:ext cx="579646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/>
            <a:t>Uc</a:t>
          </a:r>
        </a:p>
      </xdr:txBody>
    </xdr:sp>
    <xdr:clientData/>
  </xdr:oneCellAnchor>
  <xdr:oneCellAnchor>
    <xdr:from>
      <xdr:col>14</xdr:col>
      <xdr:colOff>82061</xdr:colOff>
      <xdr:row>79</xdr:row>
      <xdr:rowOff>70339</xdr:rowOff>
    </xdr:from>
    <xdr:ext cx="582467" cy="530658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73AA3DB-7BC3-467F-42DA-BAD24409D6AB}"/>
            </a:ext>
          </a:extLst>
        </xdr:cNvPr>
        <xdr:cNvSpPr txBox="1"/>
      </xdr:nvSpPr>
      <xdr:spPr>
        <a:xfrm>
          <a:off x="11605846" y="7608277"/>
          <a:ext cx="58246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/>
            <a:t>Ua</a:t>
          </a:r>
        </a:p>
      </xdr:txBody>
    </xdr:sp>
    <xdr:clientData/>
  </xdr:oneCellAnchor>
  <xdr:oneCellAnchor>
    <xdr:from>
      <xdr:col>17</xdr:col>
      <xdr:colOff>93784</xdr:colOff>
      <xdr:row>72</xdr:row>
      <xdr:rowOff>140677</xdr:rowOff>
    </xdr:from>
    <xdr:ext cx="529184" cy="530658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84C360B-D5E6-4D43-1D44-F13B0F7639C9}"/>
            </a:ext>
          </a:extLst>
        </xdr:cNvPr>
        <xdr:cNvSpPr txBox="1"/>
      </xdr:nvSpPr>
      <xdr:spPr>
        <a:xfrm>
          <a:off x="13610492" y="6365631"/>
          <a:ext cx="52918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/>
            <a:t>Fc</a:t>
          </a:r>
        </a:p>
      </xdr:txBody>
    </xdr:sp>
    <xdr:clientData/>
  </xdr:oneCellAnchor>
  <xdr:oneCellAnchor>
    <xdr:from>
      <xdr:col>17</xdr:col>
      <xdr:colOff>105507</xdr:colOff>
      <xdr:row>79</xdr:row>
      <xdr:rowOff>70337</xdr:rowOff>
    </xdr:from>
    <xdr:ext cx="532005" cy="530658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AD3063D-FD6B-EE05-F06F-C9571D24AFDC}"/>
            </a:ext>
          </a:extLst>
        </xdr:cNvPr>
        <xdr:cNvSpPr txBox="1"/>
      </xdr:nvSpPr>
      <xdr:spPr>
        <a:xfrm>
          <a:off x="13622215" y="7619999"/>
          <a:ext cx="53200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/>
            <a:t>Fa</a:t>
          </a:r>
        </a:p>
      </xdr:txBody>
    </xdr:sp>
    <xdr:clientData/>
  </xdr:oneCellAnchor>
  <xdr:twoCellAnchor editAs="oneCell">
    <xdr:from>
      <xdr:col>3</xdr:col>
      <xdr:colOff>668215</xdr:colOff>
      <xdr:row>88</xdr:row>
      <xdr:rowOff>11723</xdr:rowOff>
    </xdr:from>
    <xdr:to>
      <xdr:col>9</xdr:col>
      <xdr:colOff>383191</xdr:colOff>
      <xdr:row>93</xdr:row>
      <xdr:rowOff>14780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5842D61-A8AB-D079-5E00-258D79E3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1477" y="9296400"/>
          <a:ext cx="5201376" cy="905001"/>
        </a:xfrm>
        <a:prstGeom prst="rect">
          <a:avLst/>
        </a:prstGeom>
      </xdr:spPr>
    </xdr:pic>
    <xdr:clientData/>
  </xdr:twoCellAnchor>
  <xdr:twoCellAnchor editAs="oneCell">
    <xdr:from>
      <xdr:col>12</xdr:col>
      <xdr:colOff>501231</xdr:colOff>
      <xdr:row>91</xdr:row>
      <xdr:rowOff>199006</xdr:rowOff>
    </xdr:from>
    <xdr:to>
      <xdr:col>13</xdr:col>
      <xdr:colOff>175735</xdr:colOff>
      <xdr:row>104</xdr:row>
      <xdr:rowOff>55312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0E26F4B-9744-9D5E-2003-E58570333836}"/>
                </a:ext>
              </a:extLst>
            </xdr14:cNvPr>
            <xdr14:cNvContentPartPr/>
          </xdr14:nvContentPartPr>
          <xdr14:nvPr macro=""/>
          <xdr14:xfrm>
            <a:off x="10594800" y="10081560"/>
            <a:ext cx="342720" cy="22784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00E26F4B-9744-9D5E-2003-E58570333836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588453" y="10075194"/>
              <a:ext cx="355413" cy="22911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633157</xdr:colOff>
      <xdr:row>92</xdr:row>
      <xdr:rowOff>45434</xdr:rowOff>
    </xdr:from>
    <xdr:to>
      <xdr:col>21</xdr:col>
      <xdr:colOff>329529</xdr:colOff>
      <xdr:row>104</xdr:row>
      <xdr:rowOff>144628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0C56BC99-8EA0-8DCE-8FDE-C6E74962EC24}"/>
                </a:ext>
              </a:extLst>
            </xdr14:cNvPr>
            <xdr14:cNvContentPartPr/>
          </xdr14:nvContentPartPr>
          <xdr14:nvPr macro=""/>
          <xdr14:xfrm>
            <a:off x="16037280" y="10127280"/>
            <a:ext cx="411480" cy="23324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0C56BC99-8EA0-8DCE-8FDE-C6E74962EC2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6031276" y="10120882"/>
              <a:ext cx="423489" cy="23452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82061</xdr:colOff>
      <xdr:row>104</xdr:row>
      <xdr:rowOff>82062</xdr:rowOff>
    </xdr:from>
    <xdr:to>
      <xdr:col>11</xdr:col>
      <xdr:colOff>358963</xdr:colOff>
      <xdr:row>108</xdr:row>
      <xdr:rowOff>141523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201A57A-15B8-8B71-F6FF-846BAAFEC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8523" y="12473354"/>
          <a:ext cx="4848902" cy="809738"/>
        </a:xfrm>
        <a:prstGeom prst="rect">
          <a:avLst/>
        </a:prstGeom>
      </xdr:spPr>
    </xdr:pic>
    <xdr:clientData/>
  </xdr:twoCellAnchor>
  <xdr:twoCellAnchor editAs="oneCell">
    <xdr:from>
      <xdr:col>3</xdr:col>
      <xdr:colOff>772818</xdr:colOff>
      <xdr:row>109</xdr:row>
      <xdr:rowOff>35382</xdr:rowOff>
    </xdr:from>
    <xdr:to>
      <xdr:col>4</xdr:col>
      <xdr:colOff>117618</xdr:colOff>
      <xdr:row>117</xdr:row>
      <xdr:rowOff>54905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FABF8821-11F9-4855-0E42-55A04C8CB7C5}"/>
                </a:ext>
              </a:extLst>
            </xdr14:cNvPr>
            <xdr14:cNvContentPartPr/>
          </xdr14:nvContentPartPr>
          <xdr14:nvPr macro=""/>
          <xdr14:xfrm>
            <a:off x="2836080" y="13364520"/>
            <a:ext cx="259200" cy="15318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FABF8821-11F9-4855-0E42-55A04C8CB7C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830125" y="13358077"/>
              <a:ext cx="271109" cy="15446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867138</xdr:colOff>
      <xdr:row>109</xdr:row>
      <xdr:rowOff>10902</xdr:rowOff>
    </xdr:from>
    <xdr:to>
      <xdr:col>10</xdr:col>
      <xdr:colOff>177018</xdr:colOff>
      <xdr:row>117</xdr:row>
      <xdr:rowOff>118985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9F0E18C3-4BFA-6EEC-4356-DF6576CDCD29}"/>
                </a:ext>
              </a:extLst>
            </xdr14:cNvPr>
            <xdr14:cNvContentPartPr/>
          </xdr14:nvContentPartPr>
          <xdr14:nvPr macro=""/>
          <xdr14:xfrm>
            <a:off x="8416800" y="13340040"/>
            <a:ext cx="224280" cy="1620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9F0E18C3-4BFA-6EEC-4356-DF6576CDCD2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410870" y="13333616"/>
              <a:ext cx="236139" cy="16332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679597</xdr:colOff>
      <xdr:row>108</xdr:row>
      <xdr:rowOff>187311</xdr:rowOff>
    </xdr:from>
    <xdr:to>
      <xdr:col>21</xdr:col>
      <xdr:colOff>399729</xdr:colOff>
      <xdr:row>119</xdr:row>
      <xdr:rowOff>151366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31D9B815-5EFC-C06E-B217-7BEB65B01FCD}"/>
                </a:ext>
              </a:extLst>
            </xdr14:cNvPr>
            <xdr14:cNvContentPartPr/>
          </xdr14:nvContentPartPr>
          <xdr14:nvPr macro=""/>
          <xdr14:xfrm>
            <a:off x="16083720" y="13328880"/>
            <a:ext cx="435240" cy="203904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31D9B815-5EFC-C06E-B217-7BEB65B01FC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6077704" y="13322400"/>
              <a:ext cx="447271" cy="20520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749778</xdr:colOff>
      <xdr:row>108</xdr:row>
      <xdr:rowOff>187311</xdr:rowOff>
    </xdr:from>
    <xdr:to>
      <xdr:col>11</xdr:col>
      <xdr:colOff>141018</xdr:colOff>
      <xdr:row>120</xdr:row>
      <xdr:rowOff>50917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B8604AF8-6381-23BF-FEF4-F5D2E751D524}"/>
                </a:ext>
              </a:extLst>
            </xdr14:cNvPr>
            <xdr14:cNvContentPartPr/>
          </xdr14:nvContentPartPr>
          <xdr14:nvPr macro=""/>
          <xdr14:xfrm>
            <a:off x="9213840" y="13328880"/>
            <a:ext cx="305640" cy="21261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B8604AF8-6381-23BF-FEF4-F5D2E751D52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9207798" y="13322378"/>
              <a:ext cx="317723" cy="21391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695177</xdr:colOff>
      <xdr:row>129</xdr:row>
      <xdr:rowOff>94955</xdr:rowOff>
    </xdr:from>
    <xdr:to>
      <xdr:col>16</xdr:col>
      <xdr:colOff>475114</xdr:colOff>
      <xdr:row>135</xdr:row>
      <xdr:rowOff>19349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EC5A5064-9481-6967-5D9E-AB8B16227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7777" y="23396915"/>
          <a:ext cx="3254657" cy="1128354"/>
        </a:xfrm>
        <a:prstGeom prst="rect">
          <a:avLst/>
        </a:prstGeom>
      </xdr:spPr>
    </xdr:pic>
    <xdr:clientData/>
  </xdr:twoCellAnchor>
  <xdr:twoCellAnchor editAs="oneCell">
    <xdr:from>
      <xdr:col>12</xdr:col>
      <xdr:colOff>587327</xdr:colOff>
      <xdr:row>136</xdr:row>
      <xdr:rowOff>1171</xdr:rowOff>
    </xdr:from>
    <xdr:to>
      <xdr:col>15</xdr:col>
      <xdr:colOff>385808</xdr:colOff>
      <xdr:row>139</xdr:row>
      <xdr:rowOff>144151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4CDA94B-8C0C-63AA-443C-B9EAA6859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6207" y="24705211"/>
          <a:ext cx="1886361" cy="73734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6:42:37.56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 0 24327,'-30'6306'0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6:42:38.0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6:42:48.8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39 24415,'30142'0'0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6:42:56.2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21389,'1804'0'0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6:43:03.6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16 24192,'1639'0'0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06:43:23.50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05:56:50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948 1 24575,'-50'0'0,"-116"4"0,141-2 0,2 1 0,-2 2 0,1 0 0,-41 17 0,41-13 0,11-5 0,0 1 0,1 1 0,-1 0 0,1 0 0,0 1 0,1 0 0,-1 1 0,1 1 0,0-1 0,-13 17 0,-10 11 0,-51 42 0,-25 27 0,97-91 0,1-1 0,0 3 0,1-1 0,1 0 0,-1 2 0,2-1 0,-10 26 0,15-31 0,0 0 0,-1-1 0,-9 17 0,7-17 0,2 0 0,0 0 0,1 0 0,-4 12 0,0 18 0,2 1 0,3 0 0,1 0 0,5 69 0,0-15 0,-5 27 0,5 109 0,14-132 0,-11-67 0,5 60 0,-12-1 0,0-55 0,1 1 0,2 1 0,10 48 0,15 74 0,-14-70 0,-4-7 0,-4 0 0,-6 110 0,-1-63 0,2 9 0,20 143 0,-10-156 0,-6 176 0,-6-158 0,3-122 0,2-1 0,9 40 0,1 18 0,-7-1 0,-2-25 0,10 56 0,-6-44 0,-1 0 0,-4 1 0,-6 66 0,0-16 0,3 1070 0,0-1176 0,1 1 0,1-1 0,-2 0 0,3 0 0,0 1 0,0-1 0,6 13 0,3 4 0,24 31 0,-23-35 0,-4-10 0,2 0 0,-1-2 0,0 0 0,2 0 0,24 19 0,-21-19 0,0 2 0,-2 0 0,19 21 0,8 16 0,-15-20 0,21 32 0,-3 1-1365,-31-46-5461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05:56:56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24575,'94'-1'0,"-31"-1"0,117 11 0,-156-4 0,0 1 0,-1 1 0,1 0 0,-2 2 0,1 0 0,-1 3 0,0-1 0,-2 1 0,1 2 0,28 24 0,-18-11 0,-2 2 0,1 1 0,-3 2 0,-2-1 0,31 52 0,-49-73 0,-2 2 0,0-1 0,4 14 0,-6-16 0,0 0 0,0 0 0,1 0 0,0-1 0,1 0 0,10 14 0,12 14 0,0 2 0,-2 1 0,-2 1 0,-2 1 0,-2 1 0,-2 1 0,20 70 0,-21-39 0,-3 0 0,4 78 0,-11-78 0,14 681 0,-23-491 0,3-232 0,-6 356 0,-2-275 0,-30 160 0,-73 185 0,93-404 0,-2-1 0,-28 56 0,19-48 0,-20 65 0,37-86 0,-48 168 0,51-168 0,1 0 0,3 1 0,0 54 0,7 652 0,16-509 0,0 8 0,-19 88 0,1-324 0,0 0 0,-1 0 0,0 0 0,0 0 0,-1 0 0,0-1 0,-1 1 0,0 0 0,-1-1 0,0 0 0,-1 0 0,0-1 0,0 2 0,0-2 0,-1 0 0,0-1 0,-1 2 0,0-2 0,0 0 0,-1-1 0,-12 9 0,8-5 0,0 0 0,1 0 0,0 1 0,-11 13 0,13-12 0,-3 1 0,-20 17 0,28-27 0,-1 1 0,-1-1 0,1 0 0,-1 0 0,0-1 0,0 1 0,1-1 0,0-1 0,-2 1 0,-11 1 0,-38-2 13,48-2-167,-1 1 1,-1 0 0,1 0 0,-1 1 0,2 0 0,-1 0 0,0 1 0,-17 6 0,5 5-6673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06:00:42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719 0 24575,'0'2'0,"0"-1"0,-1 1 0,1-1 0,-1 1 0,0-1 0,1 0 0,-1 1 0,0-1 0,0 0 0,0 1 0,0-1 0,0 0 0,0 0 0,-1 0 0,1 0 0,-2 1 0,-27 20 0,18-14 0,-3 1 0,0-1 0,1 0 0,-26 9 0,21-10 0,2 1 0,-20 12 0,31-16 0,1-1 0,-1 1 0,2 1 0,-1-1 0,0 1 0,0-1 0,0 2 0,1 0 0,0-1 0,-2 7 0,-59 107 0,59-106 0,2-1 0,0 0 0,0 1 0,-3 15 0,6-20 0,-1 0 0,0 1 0,0 0 0,-1-1 0,0-1 0,-1 1 0,1 0 0,-1 0 0,-1 0 0,0-1 0,-9 10 0,2-2 0,-1 0 0,1 0 0,2 2 0,-16 27 0,10-15 0,5-9 0,2-1 0,-11 37 0,-5 13 0,14-48 0,1 1 0,2-1 0,1 0 0,0 2 0,2-1 0,-5 40 0,8-50 0,0-1 0,-1 1 0,1 0 0,-2-1 0,0 0 0,-11 18 0,9-17 0,0 0 0,2 2 0,0-2 0,0 1 0,-3 17 0,1 44 0,8 112 0,1-62 0,-1-26 0,-5 115 0,-12-116 0,9-57 0,-4 43 0,7 449 0,6-274 0,-3 398 0,0-640 0,1 0 0,1-1 0,1 2 0,1-2 0,9 30 0,40 68 0,-34-75 0,19 52 0,-27-56 0,-5-16 0,0 0 0,14 29 0,-17-42 0,0-1 0,0 1 0,0-1 0,1 1 0,-1-1 0,0 0 0,2-1 0,-1 1 0,0 0 0,1 0 0,0-1 0,0 0 0,7 4 0,11 0 0,-1 0 0,1-1 0,0-1 0,0-1 0,33 2 0,-41-4 0,44 9-1365,-31-5-5461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06:00:47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 24575,'104'-2'0,"115"5"0,-214-3 0,1 1 0,0 0 0,0 0 0,0 0 0,0 1 0,-1-1 0,1 1 0,0 1 0,-1-1 0,1 1 0,-2 0 0,1 1 0,0-1 0,0 1 0,7 6 0,-5-1 0,1 1 0,0 0 0,-1 2 0,-2-1 0,1 0 0,5 13 0,17 46 0,-3 1 0,29 141 0,-35-100 0,5 140 0,-21 230 0,-6-244 0,3 2048 0,1-2273 0,-2 0 0,0 0 0,-1 1 0,0-1 0,-1 0 0,0-1 0,0 2 0,-2-2 0,0 0 0,-1 0 0,-1 1 0,1-2 0,-1 0 0,-1 0 0,0 0 0,-15 14 0,-112 100 0,128-115 0,-1 0 0,1 0 0,0 0 0,-6 17 0,7-15 0,-1 0 0,0 0 0,-10 13 0,14-22 0,0 0 0,-1 1 0,1-1 0,-1 0 0,1-1 0,-1 2 0,0-2 0,0 1 0,0-1 0,-1 0 0,1-1 0,0 1 0,-8 1 0,-10 0-109,-2 0 0,1-2 0,-41-2 0,42 1-820,-7-1-5897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06:00:52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24575,'2'5'0,"-1"1"0,1-1 0,0 1 0,0 0 0,1-1 0,-1 0 0,1 0 0,1-1 0,-1 1 0,0 1 0,7 5 0,1 2 0,86 112 0,146 211 0,-235-322 0,188 291 0,-170-266 0,-3 1 0,21 45 0,-25-46 0,1 0 0,37 52 0,-40-71 0,-1 1 0,-1 2 0,-2-1 0,0 1 0,-1 1 0,-1-1 0,-2 2 0,14 50 0,40 188 0,-37-163 0,24 75 0,-24-89 0,-4-1 0,13 100 0,-9 29 0,20 292 0,-44 248 0,-4-361 0,2-46 0,-1-335 0,0-1 0,-1-1 0,0 1 0,0 0 0,-1 0 0,-1-1 0,0 1 0,0-1 0,0 0 0,-2 1 0,0-2 0,-10 12 0,-9 11 0,-2-2 0,-36 31 0,14-14 0,17-14 0,-128 118 0,145-140 0,-1-1 0,-34 17 0,30-18 0,1 1 0,-20 15 0,-27 34 0,8-6 0,26-23 0,26-24 0,-1 1 0,0 0 0,-1-1 0,-12 8 0,9-7 0,-1 3 0,0-1 0,1 0 0,-18 21 0,19-19 0,-1 1 0,0-2 0,-1 0 0,-19 12 0,28-20-72,-8 5-252,-1 0 1,0-2 0,-14 7 0,5-6-6503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06:00:59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848 1 24575,'-33'0'0,"-9"-1"0,-69 8 0,97-5 0,-2 1 0,1 1 0,0 1 0,0 0 0,2 0 0,-2 1 0,-26 16 0,36-18 0,0-1 0,0 0 0,1 1 0,-1 0 0,1 0 0,0 1 0,0 0 0,0-1 0,0 1 0,1 0 0,-1 0 0,1 0 0,1 1 0,-1-1 0,1 1 0,-2 8 0,-24 51 0,7-20 0,10-22 0,5-9 0,0-1 0,1 0 0,1 1 0,-3 15 0,-2 17 0,0 0 0,-22 60 0,25-87 0,1 2 0,1-2 0,-1 33 0,4-35 0,-1 1 0,-1-1 0,0 0 0,-1 0 0,-11 31 0,-4-10 0,9-20 0,1 1 0,0 1 0,-10 36 0,16-44 0,-1-1 0,0 0 0,-1 1 0,-11 18 0,9-19 0,1 0 0,1 0 0,0 1 0,-6 21 0,-9 110 0,-31 135 0,23-90 0,13-105 0,-7 155 0,24 1550 0,0-1763 0,1 0 0,1 0 0,1-1 0,13 37 0,-9-32 0,-1 0 0,5 46 0,-10-26 0,-3-36 0,0 2 0,2-2 0,-1 2 0,2-2 0,-1 0 0,2 1 0,10 24 0,55 122 0,-41-92 0,26 76 0,-27-85 0,-17-40 0,-1 1 0,0-1 0,-2 1 0,-1 1 0,8 41 0,-14-53 0,1-2 0,0 0 0,0 1 0,0 0 0,1-1 0,1 0 0,-1 0 0,1 0 0,0 1 0,1-1 0,-1-1 0,7 10 0,2 0 0,-1 0 0,-1 1 0,0 0 0,-2 1 0,11 32 0,5 10 0,19 49 0,10 24 0,-42-109 0,-6-11 0,2 0 0,-1-1 0,0 1 0,2-1 0,17 20 0,-6-10 27,-2-1 0,21 38 0,-1-4-1473,-27-40-5380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96BC-6E42-4DDF-9F53-F1AA12403328}">
  <dimension ref="A14:AJ150"/>
  <sheetViews>
    <sheetView tabSelected="1" topLeftCell="A62" zoomScale="80" zoomScaleNormal="80" workbookViewId="0">
      <selection activeCell="N68" sqref="N68"/>
    </sheetView>
  </sheetViews>
  <sheetFormatPr defaultRowHeight="14.4" x14ac:dyDescent="0.3"/>
  <cols>
    <col min="1" max="1" width="10" bestFit="1" customWidth="1"/>
    <col min="2" max="2" width="9.33203125" bestFit="1" customWidth="1"/>
    <col min="3" max="3" width="10.5546875" bestFit="1" customWidth="1"/>
    <col min="4" max="11" width="13.33203125" bestFit="1" customWidth="1"/>
    <col min="12" max="12" width="10.44140625" bestFit="1" customWidth="1"/>
    <col min="13" max="13" width="9.6640625" bestFit="1" customWidth="1"/>
    <col min="14" max="14" width="11.109375" bestFit="1" customWidth="1"/>
    <col min="15" max="15" width="9.5546875" bestFit="1" customWidth="1"/>
    <col min="16" max="17" width="9.6640625" bestFit="1" customWidth="1"/>
    <col min="18" max="18" width="9.33203125" bestFit="1" customWidth="1"/>
    <col min="19" max="19" width="9.109375" bestFit="1" customWidth="1"/>
    <col min="20" max="20" width="9" bestFit="1" customWidth="1"/>
    <col min="21" max="21" width="10.44140625" bestFit="1" customWidth="1"/>
    <col min="22" max="24" width="10.33203125" bestFit="1" customWidth="1"/>
    <col min="25" max="25" width="10" bestFit="1" customWidth="1"/>
    <col min="27" max="27" width="9.33203125" bestFit="1" customWidth="1"/>
    <col min="29" max="29" width="9.33203125" bestFit="1" customWidth="1"/>
    <col min="31" max="31" width="12.33203125" bestFit="1" customWidth="1"/>
    <col min="32" max="33" width="9.6640625" bestFit="1" customWidth="1"/>
    <col min="34" max="34" width="9.33203125" bestFit="1" customWidth="1"/>
    <col min="36" max="36" width="9.33203125" bestFit="1" customWidth="1"/>
  </cols>
  <sheetData>
    <row r="14" spans="1:12" ht="18" x14ac:dyDescent="0.3">
      <c r="A14" s="1"/>
      <c r="B14" s="2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2" t="s">
        <v>13</v>
      </c>
      <c r="H14" s="4" t="s">
        <v>14</v>
      </c>
      <c r="I14" s="4" t="s">
        <v>15</v>
      </c>
      <c r="J14" s="4" t="s">
        <v>16</v>
      </c>
      <c r="K14" s="4" t="s">
        <v>17</v>
      </c>
      <c r="L14" s="4" t="s">
        <v>18</v>
      </c>
    </row>
    <row r="15" spans="1:12" ht="15.6" x14ac:dyDescent="0.3">
      <c r="A15" s="3" t="s">
        <v>0</v>
      </c>
      <c r="B15" s="31">
        <f>0</f>
        <v>0</v>
      </c>
      <c r="C15" s="32">
        <v>1.5</v>
      </c>
      <c r="D15" s="33">
        <f>10^7</f>
        <v>10000000</v>
      </c>
      <c r="E15" s="32">
        <v>40</v>
      </c>
      <c r="F15" s="5">
        <f>(C15*D15)/E15</f>
        <v>375000</v>
      </c>
      <c r="G15" s="6">
        <f>COS(B15)^2</f>
        <v>1</v>
      </c>
      <c r="H15" s="6">
        <f>SIN(B15)^2</f>
        <v>0</v>
      </c>
      <c r="I15" s="6">
        <f>SIN(B15)*COS(B15)</f>
        <v>0</v>
      </c>
      <c r="J15" s="5">
        <f>F15*G15</f>
        <v>375000</v>
      </c>
      <c r="K15" s="5">
        <f>F15*H15</f>
        <v>0</v>
      </c>
      <c r="L15" s="5">
        <f>F15*I15</f>
        <v>0</v>
      </c>
    </row>
    <row r="16" spans="1:12" ht="15.6" x14ac:dyDescent="0.3">
      <c r="A16" s="3" t="s">
        <v>1</v>
      </c>
      <c r="B16" s="34">
        <f>ATAN(1)</f>
        <v>0.78539816339744828</v>
      </c>
      <c r="C16" s="32">
        <v>1.5</v>
      </c>
      <c r="D16" s="33">
        <f t="shared" ref="D16:D22" si="0">10^7</f>
        <v>10000000</v>
      </c>
      <c r="E16" s="32">
        <f>(40^2+39^2)^(1/2)</f>
        <v>55.865910893853687</v>
      </c>
      <c r="F16" s="5">
        <f t="shared" ref="F16:F22" si="1">(C16*D16)/E16</f>
        <v>268500.05235751532</v>
      </c>
      <c r="G16" s="6">
        <f t="shared" ref="G16:G22" si="2">COS(B16)^2</f>
        <v>0.50000000000000011</v>
      </c>
      <c r="H16" s="6">
        <f t="shared" ref="H16:H22" si="3">SIN(B16)^2</f>
        <v>0.49999999999999989</v>
      </c>
      <c r="I16" s="6">
        <f t="shared" ref="I16:I22" si="4">SIN(B16)*COS(B16)</f>
        <v>0.5</v>
      </c>
      <c r="J16" s="5">
        <f t="shared" ref="J16:J22" si="5">F16*G16</f>
        <v>134250.02617875769</v>
      </c>
      <c r="K16" s="5">
        <f t="shared" ref="K16:K22" si="6">F16*H16</f>
        <v>134250.02617875763</v>
      </c>
      <c r="L16" s="5">
        <f t="shared" ref="L16:L22" si="7">F16*I16</f>
        <v>134250.02617875766</v>
      </c>
    </row>
    <row r="17" spans="1:36" ht="15.6" x14ac:dyDescent="0.3">
      <c r="A17" s="3" t="s">
        <v>2</v>
      </c>
      <c r="B17" s="32">
        <f>0</f>
        <v>0</v>
      </c>
      <c r="C17" s="32">
        <v>1.5</v>
      </c>
      <c r="D17" s="33">
        <f t="shared" si="0"/>
        <v>10000000</v>
      </c>
      <c r="E17" s="32">
        <v>40</v>
      </c>
      <c r="F17" s="5">
        <f t="shared" si="1"/>
        <v>375000</v>
      </c>
      <c r="G17" s="6">
        <f t="shared" si="2"/>
        <v>1</v>
      </c>
      <c r="H17" s="6">
        <f t="shared" si="3"/>
        <v>0</v>
      </c>
      <c r="I17" s="6">
        <f t="shared" si="4"/>
        <v>0</v>
      </c>
      <c r="J17" s="5">
        <f t="shared" si="5"/>
        <v>375000</v>
      </c>
      <c r="K17" s="5">
        <f t="shared" si="6"/>
        <v>0</v>
      </c>
      <c r="L17" s="5">
        <f t="shared" si="7"/>
        <v>0</v>
      </c>
    </row>
    <row r="18" spans="1:36" ht="15.6" x14ac:dyDescent="0.3">
      <c r="A18" s="3" t="s">
        <v>3</v>
      </c>
      <c r="B18" s="32">
        <f>PI()/2</f>
        <v>1.5707963267948966</v>
      </c>
      <c r="C18" s="32">
        <v>1.5</v>
      </c>
      <c r="D18" s="33">
        <f t="shared" si="0"/>
        <v>10000000</v>
      </c>
      <c r="E18" s="32">
        <v>40</v>
      </c>
      <c r="F18" s="5">
        <f t="shared" si="1"/>
        <v>375000</v>
      </c>
      <c r="G18" s="6">
        <f t="shared" si="2"/>
        <v>3.7524718414124473E-33</v>
      </c>
      <c r="H18" s="6">
        <f t="shared" si="3"/>
        <v>1</v>
      </c>
      <c r="I18" s="6">
        <f t="shared" si="4"/>
        <v>6.1257422745431001E-17</v>
      </c>
      <c r="J18" s="5">
        <f t="shared" si="5"/>
        <v>1.4071769405296677E-27</v>
      </c>
      <c r="K18" s="5">
        <f t="shared" si="6"/>
        <v>375000</v>
      </c>
      <c r="L18" s="5">
        <f t="shared" si="7"/>
        <v>2.2971533529536625E-11</v>
      </c>
    </row>
    <row r="19" spans="1:36" ht="15.6" x14ac:dyDescent="0.3">
      <c r="A19" s="3" t="s">
        <v>4</v>
      </c>
      <c r="B19" s="32">
        <f>0</f>
        <v>0</v>
      </c>
      <c r="C19" s="32">
        <v>1.5</v>
      </c>
      <c r="D19" s="33">
        <f t="shared" si="0"/>
        <v>10000000</v>
      </c>
      <c r="E19" s="32">
        <v>40</v>
      </c>
      <c r="F19" s="5">
        <f t="shared" si="1"/>
        <v>375000</v>
      </c>
      <c r="G19" s="6">
        <f t="shared" si="2"/>
        <v>1</v>
      </c>
      <c r="H19" s="6">
        <f t="shared" si="3"/>
        <v>0</v>
      </c>
      <c r="I19" s="6">
        <f t="shared" si="4"/>
        <v>0</v>
      </c>
      <c r="J19" s="5">
        <f t="shared" si="5"/>
        <v>375000</v>
      </c>
      <c r="K19" s="5">
        <f t="shared" si="6"/>
        <v>0</v>
      </c>
      <c r="L19" s="5">
        <f t="shared" si="7"/>
        <v>0</v>
      </c>
    </row>
    <row r="20" spans="1:36" ht="15.6" x14ac:dyDescent="0.3">
      <c r="A20" s="3" t="s">
        <v>5</v>
      </c>
      <c r="B20" s="32">
        <f>315*PI()/180</f>
        <v>5.497787143782138</v>
      </c>
      <c r="C20" s="32">
        <v>1.5</v>
      </c>
      <c r="D20" s="33">
        <f t="shared" si="0"/>
        <v>10000000</v>
      </c>
      <c r="E20" s="32">
        <f>E16</f>
        <v>55.865910893853687</v>
      </c>
      <c r="F20" s="5">
        <f t="shared" si="1"/>
        <v>268500.05235751532</v>
      </c>
      <c r="G20" s="6">
        <f t="shared" si="2"/>
        <v>0.49999999999999978</v>
      </c>
      <c r="H20" s="6">
        <f t="shared" si="3"/>
        <v>0.50000000000000022</v>
      </c>
      <c r="I20" s="6">
        <f t="shared" si="4"/>
        <v>-0.5</v>
      </c>
      <c r="J20" s="5">
        <f t="shared" si="5"/>
        <v>134250.0261787576</v>
      </c>
      <c r="K20" s="5">
        <f t="shared" si="6"/>
        <v>134250.02617875772</v>
      </c>
      <c r="L20" s="5">
        <f t="shared" si="7"/>
        <v>-134250.02617875766</v>
      </c>
    </row>
    <row r="21" spans="1:36" ht="15.6" x14ac:dyDescent="0.3">
      <c r="A21" s="3" t="s">
        <v>6</v>
      </c>
      <c r="B21" s="32">
        <f>0</f>
        <v>0</v>
      </c>
      <c r="C21" s="32">
        <v>1.5</v>
      </c>
      <c r="D21" s="33">
        <f t="shared" si="0"/>
        <v>10000000</v>
      </c>
      <c r="E21" s="32">
        <v>40</v>
      </c>
      <c r="F21" s="5">
        <f t="shared" si="1"/>
        <v>375000</v>
      </c>
      <c r="G21" s="6">
        <f t="shared" si="2"/>
        <v>1</v>
      </c>
      <c r="H21" s="6">
        <f t="shared" si="3"/>
        <v>0</v>
      </c>
      <c r="I21" s="6">
        <f t="shared" si="4"/>
        <v>0</v>
      </c>
      <c r="J21" s="5">
        <f t="shared" si="5"/>
        <v>375000</v>
      </c>
      <c r="K21" s="5">
        <f t="shared" si="6"/>
        <v>0</v>
      </c>
      <c r="L21" s="5">
        <f t="shared" si="7"/>
        <v>0</v>
      </c>
    </row>
    <row r="22" spans="1:36" ht="15.6" x14ac:dyDescent="0.3">
      <c r="A22" s="3" t="s">
        <v>7</v>
      </c>
      <c r="B22" s="32">
        <f>PI()/2</f>
        <v>1.5707963267948966</v>
      </c>
      <c r="C22" s="32">
        <v>1.5</v>
      </c>
      <c r="D22" s="33">
        <f t="shared" si="0"/>
        <v>10000000</v>
      </c>
      <c r="E22" s="32">
        <v>40</v>
      </c>
      <c r="F22" s="5">
        <f t="shared" si="1"/>
        <v>375000</v>
      </c>
      <c r="G22" s="6">
        <f t="shared" si="2"/>
        <v>3.7524718414124473E-33</v>
      </c>
      <c r="H22" s="6">
        <f t="shared" si="3"/>
        <v>1</v>
      </c>
      <c r="I22" s="6">
        <f t="shared" si="4"/>
        <v>6.1257422745431001E-17</v>
      </c>
      <c r="J22" s="5">
        <f t="shared" si="5"/>
        <v>1.4071769405296677E-27</v>
      </c>
      <c r="K22" s="5">
        <f t="shared" si="6"/>
        <v>375000</v>
      </c>
      <c r="L22" s="5">
        <f t="shared" si="7"/>
        <v>2.2971533529536625E-11</v>
      </c>
    </row>
    <row r="27" spans="1:36" x14ac:dyDescent="0.3">
      <c r="AH27" s="18"/>
      <c r="AI27" s="23"/>
      <c r="AJ27" s="23"/>
    </row>
    <row r="28" spans="1:36" x14ac:dyDescent="0.3">
      <c r="AH28" s="18"/>
      <c r="AI28" s="18"/>
      <c r="AJ28" s="18"/>
    </row>
    <row r="29" spans="1:36" x14ac:dyDescent="0.3">
      <c r="AH29" s="18"/>
      <c r="AI29" s="23"/>
      <c r="AJ29" s="23"/>
    </row>
    <row r="30" spans="1:36" x14ac:dyDescent="0.3">
      <c r="AH30" s="23"/>
      <c r="AI30" s="18"/>
      <c r="AJ30" s="23"/>
    </row>
    <row r="39" spans="1:11" ht="18" x14ac:dyDescent="0.3">
      <c r="B39" s="8" t="s">
        <v>27</v>
      </c>
      <c r="C39" s="8" t="s">
        <v>28</v>
      </c>
      <c r="D39" s="8" t="s">
        <v>29</v>
      </c>
      <c r="E39" s="8" t="s">
        <v>30</v>
      </c>
      <c r="H39" s="8" t="s">
        <v>27</v>
      </c>
      <c r="I39" s="8" t="s">
        <v>28</v>
      </c>
      <c r="J39" s="8" t="s">
        <v>35</v>
      </c>
      <c r="K39" s="8" t="s">
        <v>36</v>
      </c>
    </row>
    <row r="40" spans="1:11" ht="15.6" x14ac:dyDescent="0.3">
      <c r="A40" s="9"/>
      <c r="B40" s="39" t="s">
        <v>19</v>
      </c>
      <c r="C40" s="40"/>
      <c r="D40" s="40"/>
      <c r="E40" s="41"/>
      <c r="H40" s="39" t="s">
        <v>20</v>
      </c>
      <c r="I40" s="40"/>
      <c r="J40" s="40"/>
      <c r="K40" s="41"/>
    </row>
    <row r="41" spans="1:11" ht="15.6" x14ac:dyDescent="0.3">
      <c r="A41" s="10" t="s">
        <v>31</v>
      </c>
      <c r="B41" s="7">
        <f>J15</f>
        <v>375000</v>
      </c>
      <c r="C41" s="7">
        <f>L15</f>
        <v>0</v>
      </c>
      <c r="D41" s="7">
        <f>-J15</f>
        <v>-375000</v>
      </c>
      <c r="E41" s="7">
        <f>-L15</f>
        <v>0</v>
      </c>
      <c r="G41" s="10" t="s">
        <v>31</v>
      </c>
      <c r="H41" s="7">
        <f>J16</f>
        <v>134250.02617875769</v>
      </c>
      <c r="I41" s="7">
        <f>L16</f>
        <v>134250.02617875766</v>
      </c>
      <c r="J41" s="7">
        <f>-J16</f>
        <v>-134250.02617875769</v>
      </c>
      <c r="K41" s="7">
        <f>-L16</f>
        <v>-134250.02617875766</v>
      </c>
    </row>
    <row r="42" spans="1:11" ht="15.6" x14ac:dyDescent="0.3">
      <c r="A42" s="10" t="s">
        <v>32</v>
      </c>
      <c r="B42" s="7">
        <f>C41</f>
        <v>0</v>
      </c>
      <c r="C42" s="7">
        <f>K15</f>
        <v>0</v>
      </c>
      <c r="D42" s="7">
        <f>-L15</f>
        <v>0</v>
      </c>
      <c r="E42" s="7">
        <f>-K15</f>
        <v>0</v>
      </c>
      <c r="G42" s="10" t="s">
        <v>32</v>
      </c>
      <c r="H42" s="7">
        <f>I41</f>
        <v>134250.02617875766</v>
      </c>
      <c r="I42" s="7">
        <f>K16</f>
        <v>134250.02617875763</v>
      </c>
      <c r="J42" s="7">
        <f>-L16</f>
        <v>-134250.02617875766</v>
      </c>
      <c r="K42" s="7">
        <f>-K16</f>
        <v>-134250.02617875763</v>
      </c>
    </row>
    <row r="43" spans="1:11" ht="15.6" x14ac:dyDescent="0.3">
      <c r="A43" s="10" t="s">
        <v>33</v>
      </c>
      <c r="B43" s="7">
        <f>D41</f>
        <v>-375000</v>
      </c>
      <c r="C43" s="7">
        <f>D42</f>
        <v>0</v>
      </c>
      <c r="D43" s="7">
        <f>J15</f>
        <v>375000</v>
      </c>
      <c r="E43" s="7">
        <f>L15</f>
        <v>0</v>
      </c>
      <c r="G43" s="10" t="s">
        <v>37</v>
      </c>
      <c r="H43" s="7">
        <f>J41</f>
        <v>-134250.02617875769</v>
      </c>
      <c r="I43" s="7">
        <f>J42</f>
        <v>-134250.02617875766</v>
      </c>
      <c r="J43" s="7">
        <f>J16</f>
        <v>134250.02617875769</v>
      </c>
      <c r="K43" s="7">
        <f>L16</f>
        <v>134250.02617875766</v>
      </c>
    </row>
    <row r="44" spans="1:11" ht="15.6" x14ac:dyDescent="0.3">
      <c r="A44" s="10" t="s">
        <v>34</v>
      </c>
      <c r="B44" s="7">
        <f>E41</f>
        <v>0</v>
      </c>
      <c r="C44" s="7">
        <f>E42</f>
        <v>0</v>
      </c>
      <c r="D44" s="7">
        <f>E43</f>
        <v>0</v>
      </c>
      <c r="E44" s="7">
        <f>K15</f>
        <v>0</v>
      </c>
      <c r="G44" s="10" t="s">
        <v>38</v>
      </c>
      <c r="H44" s="7">
        <f>K41</f>
        <v>-134250.02617875766</v>
      </c>
      <c r="I44" s="7">
        <f>K42</f>
        <v>-134250.02617875763</v>
      </c>
      <c r="J44" s="7">
        <f>K43</f>
        <v>134250.02617875766</v>
      </c>
      <c r="K44" s="7">
        <f>K16</f>
        <v>134250.02617875763</v>
      </c>
    </row>
    <row r="46" spans="1:11" ht="18" x14ac:dyDescent="0.3">
      <c r="B46" s="8" t="s">
        <v>39</v>
      </c>
      <c r="C46" s="8" t="s">
        <v>40</v>
      </c>
      <c r="D46" s="8" t="s">
        <v>35</v>
      </c>
      <c r="E46" s="8" t="s">
        <v>36</v>
      </c>
      <c r="H46" s="8" t="s">
        <v>29</v>
      </c>
      <c r="I46" s="8" t="s">
        <v>30</v>
      </c>
      <c r="J46" s="8" t="s">
        <v>35</v>
      </c>
      <c r="K46" s="8" t="s">
        <v>36</v>
      </c>
    </row>
    <row r="47" spans="1:11" x14ac:dyDescent="0.3">
      <c r="B47" s="39" t="s">
        <v>21</v>
      </c>
      <c r="C47" s="40"/>
      <c r="D47" s="40"/>
      <c r="E47" s="41"/>
      <c r="H47" s="39" t="s">
        <v>22</v>
      </c>
      <c r="I47" s="40"/>
      <c r="J47" s="40"/>
      <c r="K47" s="41"/>
    </row>
    <row r="48" spans="1:11" ht="15.6" x14ac:dyDescent="0.3">
      <c r="A48" s="10" t="s">
        <v>41</v>
      </c>
      <c r="B48" s="7">
        <f>J17</f>
        <v>375000</v>
      </c>
      <c r="C48" s="7">
        <f>L17</f>
        <v>0</v>
      </c>
      <c r="D48" s="7">
        <f>-J17</f>
        <v>-375000</v>
      </c>
      <c r="E48" s="7">
        <f>-L17</f>
        <v>0</v>
      </c>
      <c r="G48" s="10" t="s">
        <v>33</v>
      </c>
      <c r="H48" s="7">
        <f>J18</f>
        <v>1.4071769405296677E-27</v>
      </c>
      <c r="I48" s="7">
        <f>L18</f>
        <v>2.2971533529536625E-11</v>
      </c>
      <c r="J48" s="7">
        <f>-J18</f>
        <v>-1.4071769405296677E-27</v>
      </c>
      <c r="K48" s="7">
        <f>-L18</f>
        <v>-2.2971533529536625E-11</v>
      </c>
    </row>
    <row r="49" spans="1:11" ht="15.6" x14ac:dyDescent="0.3">
      <c r="A49" s="10" t="s">
        <v>42</v>
      </c>
      <c r="B49" s="7">
        <f>C48</f>
        <v>0</v>
      </c>
      <c r="C49" s="7">
        <f>K17</f>
        <v>0</v>
      </c>
      <c r="D49" s="7">
        <f>-L17</f>
        <v>0</v>
      </c>
      <c r="E49" s="7">
        <f>-K17</f>
        <v>0</v>
      </c>
      <c r="G49" s="10" t="s">
        <v>34</v>
      </c>
      <c r="H49" s="7">
        <f>I48</f>
        <v>2.2971533529536625E-11</v>
      </c>
      <c r="I49" s="7">
        <f>K18</f>
        <v>375000</v>
      </c>
      <c r="J49" s="7">
        <f>-L18</f>
        <v>-2.2971533529536625E-11</v>
      </c>
      <c r="K49" s="7">
        <f>-K18</f>
        <v>-375000</v>
      </c>
    </row>
    <row r="50" spans="1:11" ht="15.6" x14ac:dyDescent="0.3">
      <c r="A50" s="10" t="s">
        <v>37</v>
      </c>
      <c r="B50" s="7">
        <f>D48</f>
        <v>-375000</v>
      </c>
      <c r="C50" s="7">
        <f>D49</f>
        <v>0</v>
      </c>
      <c r="D50" s="7">
        <f>J17</f>
        <v>375000</v>
      </c>
      <c r="E50" s="7">
        <f>L17</f>
        <v>0</v>
      </c>
      <c r="G50" s="10" t="s">
        <v>37</v>
      </c>
      <c r="H50" s="7">
        <f>J48</f>
        <v>-1.4071769405296677E-27</v>
      </c>
      <c r="I50" s="7">
        <f>J49</f>
        <v>-2.2971533529536625E-11</v>
      </c>
      <c r="J50" s="7">
        <f>J18</f>
        <v>1.4071769405296677E-27</v>
      </c>
      <c r="K50" s="7">
        <f>L18</f>
        <v>2.2971533529536625E-11</v>
      </c>
    </row>
    <row r="51" spans="1:11" ht="15.6" x14ac:dyDescent="0.3">
      <c r="A51" s="10" t="s">
        <v>38</v>
      </c>
      <c r="B51" s="7">
        <f>E48</f>
        <v>0</v>
      </c>
      <c r="C51" s="7">
        <f>E49</f>
        <v>0</v>
      </c>
      <c r="D51" s="7">
        <f>E50</f>
        <v>0</v>
      </c>
      <c r="E51" s="7">
        <f>K17</f>
        <v>0</v>
      </c>
      <c r="G51" s="10" t="s">
        <v>38</v>
      </c>
      <c r="H51" s="7">
        <f>K48</f>
        <v>-2.2971533529536625E-11</v>
      </c>
      <c r="I51" s="7">
        <f>K49</f>
        <v>-375000</v>
      </c>
      <c r="J51" s="7">
        <f>K50</f>
        <v>2.2971533529536625E-11</v>
      </c>
      <c r="K51" s="7">
        <f>K18</f>
        <v>375000</v>
      </c>
    </row>
    <row r="53" spans="1:11" ht="18" x14ac:dyDescent="0.3">
      <c r="B53" s="8" t="s">
        <v>29</v>
      </c>
      <c r="C53" s="8" t="s">
        <v>30</v>
      </c>
      <c r="D53" s="8" t="s">
        <v>43</v>
      </c>
      <c r="E53" s="8" t="s">
        <v>44</v>
      </c>
      <c r="H53" s="8" t="s">
        <v>43</v>
      </c>
      <c r="I53" s="8" t="s">
        <v>44</v>
      </c>
      <c r="J53" s="8" t="s">
        <v>35</v>
      </c>
      <c r="K53" s="8" t="s">
        <v>36</v>
      </c>
    </row>
    <row r="54" spans="1:11" x14ac:dyDescent="0.3">
      <c r="B54" s="39" t="s">
        <v>23</v>
      </c>
      <c r="C54" s="40"/>
      <c r="D54" s="40"/>
      <c r="E54" s="41"/>
      <c r="H54" s="39" t="s">
        <v>24</v>
      </c>
      <c r="I54" s="40"/>
      <c r="J54" s="40"/>
      <c r="K54" s="41"/>
    </row>
    <row r="55" spans="1:11" ht="15.6" x14ac:dyDescent="0.3">
      <c r="A55" s="10" t="s">
        <v>33</v>
      </c>
      <c r="B55" s="7">
        <f>J19</f>
        <v>375000</v>
      </c>
      <c r="C55" s="7">
        <f>L19</f>
        <v>0</v>
      </c>
      <c r="D55" s="7">
        <f>-J19</f>
        <v>-375000</v>
      </c>
      <c r="E55" s="7">
        <f>-L19</f>
        <v>0</v>
      </c>
      <c r="G55" s="10" t="s">
        <v>45</v>
      </c>
      <c r="H55" s="7">
        <f>J20</f>
        <v>134250.0261787576</v>
      </c>
      <c r="I55" s="7">
        <f>L20</f>
        <v>-134250.02617875766</v>
      </c>
      <c r="J55" s="7">
        <f>-J20</f>
        <v>-134250.0261787576</v>
      </c>
      <c r="K55" s="7">
        <f>-L20</f>
        <v>134250.02617875766</v>
      </c>
    </row>
    <row r="56" spans="1:11" ht="15.6" x14ac:dyDescent="0.3">
      <c r="A56" s="10" t="s">
        <v>34</v>
      </c>
      <c r="B56" s="7">
        <f>C55</f>
        <v>0</v>
      </c>
      <c r="C56" s="7">
        <f>K19</f>
        <v>0</v>
      </c>
      <c r="D56" s="7">
        <f>-L19</f>
        <v>0</v>
      </c>
      <c r="E56" s="7">
        <f>-K19</f>
        <v>0</v>
      </c>
      <c r="G56" s="10" t="s">
        <v>46</v>
      </c>
      <c r="H56" s="7">
        <f>I55</f>
        <v>-134250.02617875766</v>
      </c>
      <c r="I56" s="7">
        <f>K20</f>
        <v>134250.02617875772</v>
      </c>
      <c r="J56" s="7">
        <f>-L20</f>
        <v>134250.02617875766</v>
      </c>
      <c r="K56" s="7">
        <f>-K20</f>
        <v>-134250.02617875772</v>
      </c>
    </row>
    <row r="57" spans="1:11" ht="15.6" x14ac:dyDescent="0.3">
      <c r="A57" s="10" t="s">
        <v>45</v>
      </c>
      <c r="B57" s="7">
        <f>D55</f>
        <v>-375000</v>
      </c>
      <c r="C57" s="7">
        <f>D56</f>
        <v>0</v>
      </c>
      <c r="D57" s="7">
        <f>J19</f>
        <v>375000</v>
      </c>
      <c r="E57" s="7">
        <f>L19</f>
        <v>0</v>
      </c>
      <c r="G57" s="10" t="s">
        <v>37</v>
      </c>
      <c r="H57" s="7">
        <f>J55</f>
        <v>-134250.0261787576</v>
      </c>
      <c r="I57" s="7">
        <f>J56</f>
        <v>134250.02617875766</v>
      </c>
      <c r="J57" s="7">
        <f>J20</f>
        <v>134250.0261787576</v>
      </c>
      <c r="K57" s="7">
        <f>L20</f>
        <v>-134250.02617875766</v>
      </c>
    </row>
    <row r="58" spans="1:11" ht="15.6" x14ac:dyDescent="0.3">
      <c r="A58" s="10" t="s">
        <v>46</v>
      </c>
      <c r="B58" s="7">
        <f>E55</f>
        <v>0</v>
      </c>
      <c r="C58" s="7">
        <f>E56</f>
        <v>0</v>
      </c>
      <c r="D58" s="7">
        <f>E57</f>
        <v>0</v>
      </c>
      <c r="E58" s="7">
        <f>K19</f>
        <v>0</v>
      </c>
      <c r="G58" s="10" t="s">
        <v>38</v>
      </c>
      <c r="H58" s="7">
        <f>K55</f>
        <v>134250.02617875766</v>
      </c>
      <c r="I58" s="7">
        <f>K56</f>
        <v>-134250.02617875772</v>
      </c>
      <c r="J58" s="7">
        <f>K57</f>
        <v>-134250.02617875766</v>
      </c>
      <c r="K58" s="7">
        <f>K20</f>
        <v>134250.02617875772</v>
      </c>
    </row>
    <row r="61" spans="1:11" ht="18" x14ac:dyDescent="0.3">
      <c r="B61" s="8" t="s">
        <v>35</v>
      </c>
      <c r="C61" s="8" t="s">
        <v>36</v>
      </c>
      <c r="D61" s="8" t="s">
        <v>47</v>
      </c>
      <c r="E61" s="8" t="s">
        <v>48</v>
      </c>
      <c r="H61" s="8" t="s">
        <v>43</v>
      </c>
      <c r="I61" s="8" t="s">
        <v>44</v>
      </c>
      <c r="J61" s="8" t="s">
        <v>47</v>
      </c>
      <c r="K61" s="8" t="s">
        <v>48</v>
      </c>
    </row>
    <row r="62" spans="1:11" x14ac:dyDescent="0.3">
      <c r="B62" s="39" t="s">
        <v>25</v>
      </c>
      <c r="C62" s="40"/>
      <c r="D62" s="40"/>
      <c r="E62" s="41"/>
      <c r="H62" s="39" t="s">
        <v>26</v>
      </c>
      <c r="I62" s="40"/>
      <c r="J62" s="40"/>
      <c r="K62" s="41"/>
    </row>
    <row r="63" spans="1:11" ht="15.6" x14ac:dyDescent="0.3">
      <c r="A63" s="10" t="s">
        <v>37</v>
      </c>
      <c r="B63" s="7">
        <f>J21</f>
        <v>375000</v>
      </c>
      <c r="C63" s="7">
        <f>L21</f>
        <v>0</v>
      </c>
      <c r="D63" s="7">
        <f>-J21</f>
        <v>-375000</v>
      </c>
      <c r="E63" s="7">
        <f>-L21</f>
        <v>0</v>
      </c>
      <c r="G63" s="10" t="s">
        <v>45</v>
      </c>
      <c r="H63" s="7">
        <f>J22</f>
        <v>1.4071769405296677E-27</v>
      </c>
      <c r="I63" s="7">
        <f>L22</f>
        <v>2.2971533529536625E-11</v>
      </c>
      <c r="J63" s="7">
        <f>-J22</f>
        <v>-1.4071769405296677E-27</v>
      </c>
      <c r="K63" s="7">
        <f>-L22</f>
        <v>-2.2971533529536625E-11</v>
      </c>
    </row>
    <row r="64" spans="1:11" ht="15.6" x14ac:dyDescent="0.3">
      <c r="A64" s="10" t="s">
        <v>38</v>
      </c>
      <c r="B64" s="7">
        <f>C63</f>
        <v>0</v>
      </c>
      <c r="C64" s="7">
        <f>K21</f>
        <v>0</v>
      </c>
      <c r="D64" s="7">
        <f>-L21</f>
        <v>0</v>
      </c>
      <c r="E64" s="7">
        <f>-K21</f>
        <v>0</v>
      </c>
      <c r="G64" s="10" t="s">
        <v>46</v>
      </c>
      <c r="H64" s="7">
        <f>I63</f>
        <v>2.2971533529536625E-11</v>
      </c>
      <c r="I64" s="7">
        <f>K22</f>
        <v>375000</v>
      </c>
      <c r="J64" s="7">
        <f>-L22</f>
        <v>-2.2971533529536625E-11</v>
      </c>
      <c r="K64" s="7">
        <f>-K22</f>
        <v>-375000</v>
      </c>
    </row>
    <row r="65" spans="1:20" ht="15.6" x14ac:dyDescent="0.3">
      <c r="A65" s="10" t="s">
        <v>49</v>
      </c>
      <c r="B65" s="7">
        <f>D63</f>
        <v>-375000</v>
      </c>
      <c r="C65" s="7">
        <f>D64</f>
        <v>0</v>
      </c>
      <c r="D65" s="7">
        <f>J21</f>
        <v>375000</v>
      </c>
      <c r="E65" s="7">
        <f>L21</f>
        <v>0</v>
      </c>
      <c r="G65" s="10" t="s">
        <v>49</v>
      </c>
      <c r="H65" s="7">
        <f>J63</f>
        <v>-1.4071769405296677E-27</v>
      </c>
      <c r="I65" s="7">
        <f>J64</f>
        <v>-2.2971533529536625E-11</v>
      </c>
      <c r="J65" s="7">
        <f>J22</f>
        <v>1.4071769405296677E-27</v>
      </c>
      <c r="K65" s="7">
        <f>L22</f>
        <v>2.2971533529536625E-11</v>
      </c>
    </row>
    <row r="66" spans="1:20" ht="15.6" x14ac:dyDescent="0.3">
      <c r="A66" s="10" t="s">
        <v>50</v>
      </c>
      <c r="B66" s="7">
        <f>E63</f>
        <v>0</v>
      </c>
      <c r="C66" s="7">
        <f>E64</f>
        <v>0</v>
      </c>
      <c r="D66" s="7">
        <f>E65</f>
        <v>0</v>
      </c>
      <c r="E66" s="7">
        <f>K21</f>
        <v>0</v>
      </c>
      <c r="G66" s="10" t="s">
        <v>50</v>
      </c>
      <c r="H66" s="7">
        <f>K63</f>
        <v>-2.2971533529536625E-11</v>
      </c>
      <c r="I66" s="7">
        <f>K64</f>
        <v>-375000</v>
      </c>
      <c r="J66" s="7">
        <f>K65</f>
        <v>2.2971533529536625E-11</v>
      </c>
      <c r="K66" s="7">
        <f>K22</f>
        <v>375000</v>
      </c>
    </row>
    <row r="71" spans="1:20" x14ac:dyDescent="0.3">
      <c r="B71" s="46" t="s">
        <v>51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P71" s="36" t="s">
        <v>52</v>
      </c>
      <c r="S71" s="36" t="s">
        <v>61</v>
      </c>
    </row>
    <row r="72" spans="1:20" x14ac:dyDescent="0.3">
      <c r="B72" s="35"/>
      <c r="C72" s="12">
        <v>1</v>
      </c>
      <c r="D72" s="11">
        <v>2</v>
      </c>
      <c r="E72" s="11">
        <v>3</v>
      </c>
      <c r="F72" s="11">
        <v>4</v>
      </c>
      <c r="G72" s="11">
        <v>5</v>
      </c>
      <c r="H72" s="11">
        <v>6</v>
      </c>
      <c r="I72" s="11">
        <v>7</v>
      </c>
      <c r="J72" s="11">
        <v>8</v>
      </c>
      <c r="K72" s="11">
        <v>9</v>
      </c>
      <c r="L72" s="11">
        <v>10</v>
      </c>
      <c r="M72" s="11">
        <v>11</v>
      </c>
      <c r="N72" s="11">
        <v>12</v>
      </c>
      <c r="P72" s="15"/>
      <c r="S72" s="15"/>
    </row>
    <row r="73" spans="1:20" x14ac:dyDescent="0.3">
      <c r="B73" s="13">
        <v>1</v>
      </c>
      <c r="C73" s="14">
        <f>B41+H41</f>
        <v>509250.02617875766</v>
      </c>
      <c r="D73" s="14">
        <f>C41+I41</f>
        <v>134250.02617875766</v>
      </c>
      <c r="E73" s="14">
        <f>0</f>
        <v>0</v>
      </c>
      <c r="F73" s="14">
        <f>0</f>
        <v>0</v>
      </c>
      <c r="G73" s="14">
        <f>D41</f>
        <v>-375000</v>
      </c>
      <c r="H73" s="14">
        <f>E41</f>
        <v>0</v>
      </c>
      <c r="I73" s="14">
        <f>J41</f>
        <v>-134250.02617875769</v>
      </c>
      <c r="J73" s="14">
        <f>K41</f>
        <v>-134250.02617875766</v>
      </c>
      <c r="K73" s="14">
        <f>0</f>
        <v>0</v>
      </c>
      <c r="L73" s="14">
        <f>0</f>
        <v>0</v>
      </c>
      <c r="M73" s="14">
        <f>0</f>
        <v>0</v>
      </c>
      <c r="N73" s="14">
        <f>0</f>
        <v>0</v>
      </c>
      <c r="P73" s="38">
        <f>0</f>
        <v>0</v>
      </c>
      <c r="Q73" s="16" t="s">
        <v>66</v>
      </c>
      <c r="S73" s="1" t="s">
        <v>62</v>
      </c>
    </row>
    <row r="74" spans="1:20" x14ac:dyDescent="0.3">
      <c r="B74" s="11">
        <v>2</v>
      </c>
      <c r="C74" s="14">
        <f>B42+H42</f>
        <v>134250.02617875766</v>
      </c>
      <c r="D74" s="14">
        <f>C42+I42</f>
        <v>134250.02617875763</v>
      </c>
      <c r="E74" s="14">
        <f>0</f>
        <v>0</v>
      </c>
      <c r="F74" s="14">
        <f>0</f>
        <v>0</v>
      </c>
      <c r="G74" s="14">
        <f>D42</f>
        <v>0</v>
      </c>
      <c r="H74" s="14">
        <f>E42</f>
        <v>0</v>
      </c>
      <c r="I74" s="14">
        <f>J42</f>
        <v>-134250.02617875766</v>
      </c>
      <c r="J74" s="14">
        <f>K42</f>
        <v>-134250.02617875763</v>
      </c>
      <c r="K74" s="14">
        <f>0</f>
        <v>0</v>
      </c>
      <c r="L74" s="14">
        <f>0</f>
        <v>0</v>
      </c>
      <c r="M74" s="14">
        <f>0</f>
        <v>0</v>
      </c>
      <c r="N74" s="14">
        <f>0</f>
        <v>0</v>
      </c>
      <c r="P74" s="38">
        <f>0</f>
        <v>0</v>
      </c>
      <c r="Q74" s="16" t="s">
        <v>67</v>
      </c>
      <c r="S74" s="1" t="s">
        <v>63</v>
      </c>
    </row>
    <row r="75" spans="1:20" x14ac:dyDescent="0.3">
      <c r="B75" s="11">
        <v>3</v>
      </c>
      <c r="C75" s="14">
        <f>0</f>
        <v>0</v>
      </c>
      <c r="D75" s="14">
        <f>0</f>
        <v>0</v>
      </c>
      <c r="E75" s="14">
        <f>B48</f>
        <v>375000</v>
      </c>
      <c r="F75" s="14">
        <f>C48</f>
        <v>0</v>
      </c>
      <c r="G75" s="14">
        <f>0</f>
        <v>0</v>
      </c>
      <c r="H75" s="14">
        <f>0</f>
        <v>0</v>
      </c>
      <c r="I75" s="14">
        <f>D48</f>
        <v>-375000</v>
      </c>
      <c r="J75" s="14">
        <f>E48</f>
        <v>0</v>
      </c>
      <c r="K75" s="14">
        <f>0</f>
        <v>0</v>
      </c>
      <c r="L75" s="14">
        <f>0</f>
        <v>0</v>
      </c>
      <c r="M75" s="14">
        <f>0</f>
        <v>0</v>
      </c>
      <c r="N75" s="14">
        <f>0</f>
        <v>0</v>
      </c>
      <c r="P75" s="38">
        <f>0</f>
        <v>0</v>
      </c>
      <c r="Q75" s="16" t="s">
        <v>68</v>
      </c>
      <c r="S75" s="1" t="s">
        <v>64</v>
      </c>
    </row>
    <row r="76" spans="1:20" x14ac:dyDescent="0.3">
      <c r="B76" s="11">
        <v>4</v>
      </c>
      <c r="C76" s="14">
        <f>0</f>
        <v>0</v>
      </c>
      <c r="D76" s="14">
        <f>0</f>
        <v>0</v>
      </c>
      <c r="E76" s="14">
        <f>B49</f>
        <v>0</v>
      </c>
      <c r="F76" s="14">
        <f>C49</f>
        <v>0</v>
      </c>
      <c r="G76" s="14">
        <f>0</f>
        <v>0</v>
      </c>
      <c r="H76" s="14">
        <f>0</f>
        <v>0</v>
      </c>
      <c r="I76" s="14">
        <f>D49</f>
        <v>0</v>
      </c>
      <c r="J76" s="14">
        <f>E49</f>
        <v>0</v>
      </c>
      <c r="K76" s="14">
        <f>0</f>
        <v>0</v>
      </c>
      <c r="L76" s="14">
        <f>0</f>
        <v>0</v>
      </c>
      <c r="M76" s="14">
        <f>0</f>
        <v>0</v>
      </c>
      <c r="N76" s="14">
        <f>0</f>
        <v>0</v>
      </c>
      <c r="P76" s="38">
        <f>0</f>
        <v>0</v>
      </c>
      <c r="Q76" s="16" t="s">
        <v>69</v>
      </c>
      <c r="S76" s="1" t="s">
        <v>65</v>
      </c>
    </row>
    <row r="77" spans="1:20" x14ac:dyDescent="0.3">
      <c r="B77" s="11">
        <v>5</v>
      </c>
      <c r="C77" s="14">
        <f>B43</f>
        <v>-375000</v>
      </c>
      <c r="D77" s="14">
        <f>C43</f>
        <v>0</v>
      </c>
      <c r="E77" s="14">
        <f>0</f>
        <v>0</v>
      </c>
      <c r="F77" s="14">
        <f>0</f>
        <v>0</v>
      </c>
      <c r="G77" s="14">
        <f>D43+B55+H48</f>
        <v>750000</v>
      </c>
      <c r="H77" s="14">
        <f>E43+C55+I48</f>
        <v>2.2971533529536625E-11</v>
      </c>
      <c r="I77" s="14">
        <f>J48</f>
        <v>-1.4071769405296677E-27</v>
      </c>
      <c r="J77" s="14">
        <f>K48</f>
        <v>-2.2971533529536625E-11</v>
      </c>
      <c r="K77" s="14">
        <f>D55</f>
        <v>-375000</v>
      </c>
      <c r="L77" s="14">
        <f>E55</f>
        <v>0</v>
      </c>
      <c r="M77" s="14">
        <f>0</f>
        <v>0</v>
      </c>
      <c r="N77" s="14">
        <f>0</f>
        <v>0</v>
      </c>
      <c r="P77" s="1" t="s">
        <v>53</v>
      </c>
      <c r="S77" s="38">
        <f>0</f>
        <v>0</v>
      </c>
      <c r="T77" s="16" t="s">
        <v>62</v>
      </c>
    </row>
    <row r="78" spans="1:20" ht="15.6" x14ac:dyDescent="0.3">
      <c r="B78" s="11">
        <v>6</v>
      </c>
      <c r="C78" s="14">
        <f>B44</f>
        <v>0</v>
      </c>
      <c r="D78" s="14">
        <f>C44</f>
        <v>0</v>
      </c>
      <c r="E78" s="14">
        <f>0</f>
        <v>0</v>
      </c>
      <c r="F78" s="14">
        <f>0</f>
        <v>0</v>
      </c>
      <c r="G78" s="14">
        <f>D44+B56+H49</f>
        <v>2.2971533529536625E-11</v>
      </c>
      <c r="H78" s="14">
        <f>E44+C56+I49</f>
        <v>375000</v>
      </c>
      <c r="I78" s="14">
        <f>J49</f>
        <v>-2.2971533529536625E-11</v>
      </c>
      <c r="J78" s="14">
        <f>K49</f>
        <v>-375000</v>
      </c>
      <c r="K78" s="14">
        <f>D56</f>
        <v>0</v>
      </c>
      <c r="L78" s="14">
        <f>E56</f>
        <v>0</v>
      </c>
      <c r="M78" s="14">
        <f>0</f>
        <v>0</v>
      </c>
      <c r="N78" s="14">
        <f>0</f>
        <v>0</v>
      </c>
      <c r="O78" s="20" t="s">
        <v>92</v>
      </c>
      <c r="P78" s="1" t="s">
        <v>54</v>
      </c>
      <c r="R78" s="29" t="s">
        <v>79</v>
      </c>
      <c r="S78" s="38">
        <f>-2000</f>
        <v>-2000</v>
      </c>
      <c r="T78" s="16" t="s">
        <v>63</v>
      </c>
    </row>
    <row r="79" spans="1:20" x14ac:dyDescent="0.3">
      <c r="B79" s="11">
        <v>7</v>
      </c>
      <c r="C79" s="14">
        <f>H43</f>
        <v>-134250.02617875769</v>
      </c>
      <c r="D79" s="14">
        <f>I43</f>
        <v>-134250.02617875766</v>
      </c>
      <c r="E79" s="14">
        <f>B50</f>
        <v>-375000</v>
      </c>
      <c r="F79" s="14">
        <f>C50</f>
        <v>0</v>
      </c>
      <c r="G79" s="14">
        <f>H50</f>
        <v>-1.4071769405296677E-27</v>
      </c>
      <c r="H79" s="14">
        <f>I50</f>
        <v>-2.2971533529536625E-11</v>
      </c>
      <c r="I79" s="14">
        <f>J43+D50+J57+B63+J50</f>
        <v>1018500.0523575153</v>
      </c>
      <c r="J79" s="14">
        <f>K43+E50+K57+C63+K50</f>
        <v>2.2971533529536625E-11</v>
      </c>
      <c r="K79" s="14">
        <f>H57</f>
        <v>-134250.0261787576</v>
      </c>
      <c r="L79" s="14">
        <f>I57</f>
        <v>134250.02617875766</v>
      </c>
      <c r="M79" s="14">
        <f>D63</f>
        <v>-375000</v>
      </c>
      <c r="N79" s="14">
        <f>E63</f>
        <v>0</v>
      </c>
      <c r="P79" s="1" t="s">
        <v>55</v>
      </c>
      <c r="S79" s="38">
        <f>0</f>
        <v>0</v>
      </c>
      <c r="T79" s="16" t="s">
        <v>64</v>
      </c>
    </row>
    <row r="80" spans="1:20" x14ac:dyDescent="0.3">
      <c r="B80" s="11">
        <v>8</v>
      </c>
      <c r="C80" s="14">
        <f>H44</f>
        <v>-134250.02617875766</v>
      </c>
      <c r="D80" s="14">
        <f>I44</f>
        <v>-134250.02617875763</v>
      </c>
      <c r="E80" s="14">
        <f>B51</f>
        <v>0</v>
      </c>
      <c r="F80" s="14">
        <f>C51</f>
        <v>0</v>
      </c>
      <c r="G80" s="14">
        <f>H51</f>
        <v>-2.2971533529536625E-11</v>
      </c>
      <c r="H80" s="14">
        <f>I51</f>
        <v>-375000</v>
      </c>
      <c r="I80" s="14">
        <f>J44+D51+J58+B64+J51</f>
        <v>2.2971533529536625E-11</v>
      </c>
      <c r="J80" s="14">
        <f>K44+E51+K58+C64+K51</f>
        <v>643500.05235751532</v>
      </c>
      <c r="K80" s="14">
        <f>H58</f>
        <v>134250.02617875766</v>
      </c>
      <c r="L80" s="14">
        <f>I58</f>
        <v>-134250.02617875772</v>
      </c>
      <c r="M80" s="14">
        <f>D64</f>
        <v>0</v>
      </c>
      <c r="N80" s="14">
        <f>E64</f>
        <v>0</v>
      </c>
      <c r="P80" s="1" t="s">
        <v>56</v>
      </c>
      <c r="S80" s="38">
        <f>0</f>
        <v>0</v>
      </c>
      <c r="T80" s="16" t="s">
        <v>65</v>
      </c>
    </row>
    <row r="81" spans="2:21" x14ac:dyDescent="0.3">
      <c r="B81" s="11">
        <v>9</v>
      </c>
      <c r="C81" s="14">
        <f>0</f>
        <v>0</v>
      </c>
      <c r="D81" s="14">
        <f>0</f>
        <v>0</v>
      </c>
      <c r="E81" s="14">
        <f>0</f>
        <v>0</v>
      </c>
      <c r="F81" s="14">
        <f>0</f>
        <v>0</v>
      </c>
      <c r="G81" s="14">
        <f>B57</f>
        <v>-375000</v>
      </c>
      <c r="H81" s="14">
        <f>C57</f>
        <v>0</v>
      </c>
      <c r="I81" s="14">
        <f>J55</f>
        <v>-134250.0261787576</v>
      </c>
      <c r="J81" s="14">
        <f>K55</f>
        <v>134250.02617875766</v>
      </c>
      <c r="K81" s="14">
        <f>D57+H55+H63</f>
        <v>509250.0261787576</v>
      </c>
      <c r="L81" s="14">
        <f>E57+I55+I63</f>
        <v>-134250.02617875763</v>
      </c>
      <c r="M81" s="14">
        <f>J63</f>
        <v>-1.4071769405296677E-27</v>
      </c>
      <c r="N81" s="14">
        <f>K63</f>
        <v>-2.2971533529536625E-11</v>
      </c>
      <c r="P81" s="1" t="s">
        <v>57</v>
      </c>
      <c r="S81" s="38">
        <f>2000</f>
        <v>2000</v>
      </c>
      <c r="T81" s="16" t="s">
        <v>70</v>
      </c>
    </row>
    <row r="82" spans="2:21" x14ac:dyDescent="0.3">
      <c r="B82" s="11">
        <v>10</v>
      </c>
      <c r="C82" s="14">
        <f>0</f>
        <v>0</v>
      </c>
      <c r="D82" s="14">
        <f>0</f>
        <v>0</v>
      </c>
      <c r="E82" s="14">
        <f>0</f>
        <v>0</v>
      </c>
      <c r="F82" s="14">
        <f>0</f>
        <v>0</v>
      </c>
      <c r="G82" s="14">
        <f>B58</f>
        <v>0</v>
      </c>
      <c r="H82" s="14">
        <f>C58</f>
        <v>0</v>
      </c>
      <c r="I82" s="14">
        <f>J56</f>
        <v>134250.02617875766</v>
      </c>
      <c r="J82" s="14">
        <f>K56</f>
        <v>-134250.02617875772</v>
      </c>
      <c r="K82" s="14">
        <f>D58+H56+H64</f>
        <v>-134250.02617875763</v>
      </c>
      <c r="L82" s="14">
        <f>E58+I56+I64</f>
        <v>509250.02617875772</v>
      </c>
      <c r="M82" s="14">
        <f>J64</f>
        <v>-2.2971533529536625E-11</v>
      </c>
      <c r="N82" s="14">
        <f>K64</f>
        <v>-375000</v>
      </c>
      <c r="P82" s="1" t="s">
        <v>58</v>
      </c>
      <c r="S82" s="38">
        <f>0</f>
        <v>0</v>
      </c>
      <c r="T82" s="16" t="s">
        <v>71</v>
      </c>
    </row>
    <row r="83" spans="2:21" x14ac:dyDescent="0.3">
      <c r="B83" s="11">
        <v>11</v>
      </c>
      <c r="C83" s="14">
        <f>0</f>
        <v>0</v>
      </c>
      <c r="D83" s="14">
        <f>0</f>
        <v>0</v>
      </c>
      <c r="E83" s="14">
        <f>0</f>
        <v>0</v>
      </c>
      <c r="F83" s="14">
        <f>0</f>
        <v>0</v>
      </c>
      <c r="G83" s="14">
        <f>0</f>
        <v>0</v>
      </c>
      <c r="H83" s="14">
        <f>0</f>
        <v>0</v>
      </c>
      <c r="I83" s="14">
        <f>B65</f>
        <v>-375000</v>
      </c>
      <c r="J83" s="14">
        <f>C65</f>
        <v>0</v>
      </c>
      <c r="K83" s="14">
        <f>H65</f>
        <v>-1.4071769405296677E-27</v>
      </c>
      <c r="L83" s="14">
        <f>I65</f>
        <v>-2.2971533529536625E-11</v>
      </c>
      <c r="M83" s="14">
        <f>D65+J65</f>
        <v>375000</v>
      </c>
      <c r="N83" s="14">
        <f>E65+K65</f>
        <v>2.2971533529536625E-11</v>
      </c>
      <c r="P83" s="1" t="s">
        <v>59</v>
      </c>
      <c r="S83" s="38">
        <f>4000</f>
        <v>4000</v>
      </c>
      <c r="T83" s="16" t="s">
        <v>72</v>
      </c>
    </row>
    <row r="84" spans="2:21" x14ac:dyDescent="0.3">
      <c r="B84" s="11">
        <v>12</v>
      </c>
      <c r="C84" s="14">
        <f>0</f>
        <v>0</v>
      </c>
      <c r="D84" s="14">
        <f>0</f>
        <v>0</v>
      </c>
      <c r="E84" s="14">
        <f>0</f>
        <v>0</v>
      </c>
      <c r="F84" s="14">
        <f>0</f>
        <v>0</v>
      </c>
      <c r="G84" s="14">
        <f>0</f>
        <v>0</v>
      </c>
      <c r="H84" s="14">
        <f>0</f>
        <v>0</v>
      </c>
      <c r="I84" s="14">
        <f>B66</f>
        <v>0</v>
      </c>
      <c r="J84" s="14">
        <f>C66</f>
        <v>0</v>
      </c>
      <c r="K84" s="14">
        <f>H66</f>
        <v>-2.2971533529536625E-11</v>
      </c>
      <c r="L84" s="14">
        <f>I66</f>
        <v>-375000</v>
      </c>
      <c r="M84" s="14">
        <f>D66+J66</f>
        <v>2.2971533529536625E-11</v>
      </c>
      <c r="N84" s="14">
        <f>E66+K66</f>
        <v>375000</v>
      </c>
      <c r="P84" s="1" t="s">
        <v>60</v>
      </c>
      <c r="S84" s="38">
        <f>6000</f>
        <v>6000</v>
      </c>
      <c r="T84" s="16" t="s">
        <v>73</v>
      </c>
    </row>
    <row r="94" spans="2:21" x14ac:dyDescent="0.3">
      <c r="C94" s="36" t="s">
        <v>74</v>
      </c>
      <c r="E94" s="42" t="s">
        <v>75</v>
      </c>
      <c r="F94" s="42"/>
      <c r="G94" s="42"/>
      <c r="H94" s="42"/>
      <c r="I94" s="42"/>
      <c r="J94" s="42"/>
      <c r="K94" s="42"/>
      <c r="L94" s="42"/>
      <c r="N94" s="36" t="s">
        <v>76</v>
      </c>
      <c r="P94" s="42" t="s">
        <v>77</v>
      </c>
      <c r="Q94" s="42"/>
      <c r="R94" s="42"/>
      <c r="S94" s="42"/>
      <c r="U94" s="36" t="s">
        <v>78</v>
      </c>
    </row>
    <row r="95" spans="2:21" x14ac:dyDescent="0.3">
      <c r="B95" s="22" t="s">
        <v>53</v>
      </c>
      <c r="C95" s="21" cm="1">
        <f t="array" ref="C95:C102">MMULT(_xlfn.ANCHORARRAY(E95),(N95:N102-MMULT(P95:S102,U95:U98)))</f>
        <v>2.1333333333333319E-2</v>
      </c>
      <c r="E95" s="5" cm="1">
        <f t="array" ref="E95:L102">MINVERSE(G77:N84)</f>
        <v>2.6666666666666664E-6</v>
      </c>
      <c r="F95" s="5">
        <v>-5.1635352552224472E-22</v>
      </c>
      <c r="G95" s="5">
        <v>2.6861457625396441E-22</v>
      </c>
      <c r="H95" s="5">
        <v>-4.9325049808059243E-22</v>
      </c>
      <c r="I95" s="5">
        <v>2.666666666666666E-6</v>
      </c>
      <c r="J95" s="5">
        <v>2.6666666666666639E-6</v>
      </c>
      <c r="K95" s="5">
        <v>3.2718811247288674E-22</v>
      </c>
      <c r="L95" s="5">
        <v>2.6666666666666639E-6</v>
      </c>
      <c r="N95" s="17">
        <f>0</f>
        <v>0</v>
      </c>
      <c r="P95" s="14">
        <f t="shared" ref="P95:S102" si="8">C77</f>
        <v>-375000</v>
      </c>
      <c r="Q95" s="14">
        <f t="shared" si="8"/>
        <v>0</v>
      </c>
      <c r="R95" s="14">
        <f t="shared" si="8"/>
        <v>0</v>
      </c>
      <c r="S95" s="14">
        <f t="shared" si="8"/>
        <v>0</v>
      </c>
      <c r="U95" s="17">
        <f>0</f>
        <v>0</v>
      </c>
    </row>
    <row r="96" spans="2:21" x14ac:dyDescent="0.3">
      <c r="B96" s="22" t="s">
        <v>54</v>
      </c>
      <c r="C96" s="21">
        <v>4.0461819143388623E-2</v>
      </c>
      <c r="E96" s="5">
        <v>-7.8358933298128657E-22</v>
      </c>
      <c r="F96" s="5">
        <v>1.2782121452513827E-5</v>
      </c>
      <c r="G96" s="5">
        <v>-2.6666666666666673E-6</v>
      </c>
      <c r="H96" s="5">
        <v>1.0115454785847162E-5</v>
      </c>
      <c r="I96" s="5">
        <v>-1.4038255386414238E-21</v>
      </c>
      <c r="J96" s="5">
        <v>1.2782121452513827E-5</v>
      </c>
      <c r="K96" s="5">
        <v>-2.6666666666666673E-6</v>
      </c>
      <c r="L96" s="5">
        <v>1.2782121452513827E-5</v>
      </c>
      <c r="N96" s="17">
        <f>-2000</f>
        <v>-2000</v>
      </c>
      <c r="P96" s="14">
        <f t="shared" si="8"/>
        <v>0</v>
      </c>
      <c r="Q96" s="14">
        <f t="shared" si="8"/>
        <v>0</v>
      </c>
      <c r="R96" s="14">
        <f t="shared" si="8"/>
        <v>0</v>
      </c>
      <c r="S96" s="14">
        <f t="shared" si="8"/>
        <v>0</v>
      </c>
      <c r="U96" s="17">
        <f>0</f>
        <v>0</v>
      </c>
    </row>
    <row r="97" spans="2:21" x14ac:dyDescent="0.3">
      <c r="B97" s="22" t="s">
        <v>55</v>
      </c>
      <c r="C97" s="21">
        <v>-1.599999999999999E-2</v>
      </c>
      <c r="E97" s="5">
        <v>2.3227211307531044E-22</v>
      </c>
      <c r="F97" s="5">
        <v>-2.6666666666666668E-6</v>
      </c>
      <c r="G97" s="5">
        <v>2.6666666666666664E-6</v>
      </c>
      <c r="H97" s="5">
        <v>-2.6666666666666677E-6</v>
      </c>
      <c r="I97" s="5">
        <v>4.6454422615062088E-22</v>
      </c>
      <c r="J97" s="5">
        <v>-5.333333333333332E-6</v>
      </c>
      <c r="K97" s="5">
        <v>2.6666666666666668E-6</v>
      </c>
      <c r="L97" s="5">
        <v>-5.333333333333332E-6</v>
      </c>
      <c r="N97" s="17">
        <f>0</f>
        <v>0</v>
      </c>
      <c r="P97" s="14">
        <f t="shared" si="8"/>
        <v>-134250.02617875769</v>
      </c>
      <c r="Q97" s="14">
        <f t="shared" si="8"/>
        <v>-134250.02617875766</v>
      </c>
      <c r="R97" s="14">
        <f t="shared" si="8"/>
        <v>-375000</v>
      </c>
      <c r="S97" s="14">
        <f t="shared" si="8"/>
        <v>0</v>
      </c>
      <c r="U97" s="17">
        <f>0</f>
        <v>0</v>
      </c>
    </row>
    <row r="98" spans="2:21" ht="15.6" x14ac:dyDescent="0.3">
      <c r="B98" s="22" t="s">
        <v>56</v>
      </c>
      <c r="C98" s="21">
        <v>4.5795152476721952E-2</v>
      </c>
      <c r="D98" s="20" t="s">
        <v>79</v>
      </c>
      <c r="E98" s="5">
        <v>-6.2023620566013725E-22</v>
      </c>
      <c r="F98" s="5">
        <v>1.0115454785847162E-5</v>
      </c>
      <c r="G98" s="5">
        <v>-2.6666666666666673E-6</v>
      </c>
      <c r="H98" s="5">
        <v>1.0115454785847162E-5</v>
      </c>
      <c r="I98" s="5">
        <v>-1.2404724113202745E-21</v>
      </c>
      <c r="J98" s="5">
        <v>1.2782121452513827E-5</v>
      </c>
      <c r="K98" s="5">
        <v>-2.6666666666666673E-6</v>
      </c>
      <c r="L98" s="5">
        <v>1.2782121452513827E-5</v>
      </c>
      <c r="M98" s="20" t="s">
        <v>92</v>
      </c>
      <c r="N98" s="17">
        <f>0</f>
        <v>0</v>
      </c>
      <c r="O98" s="29" t="s">
        <v>93</v>
      </c>
      <c r="P98" s="14">
        <f t="shared" si="8"/>
        <v>-134250.02617875766</v>
      </c>
      <c r="Q98" s="14">
        <f t="shared" si="8"/>
        <v>-134250.02617875763</v>
      </c>
      <c r="R98" s="14">
        <f t="shared" si="8"/>
        <v>0</v>
      </c>
      <c r="S98" s="14">
        <f t="shared" si="8"/>
        <v>0</v>
      </c>
      <c r="T98" s="20" t="s">
        <v>92</v>
      </c>
      <c r="U98" s="17">
        <f>0</f>
        <v>0</v>
      </c>
    </row>
    <row r="99" spans="2:21" x14ac:dyDescent="0.3">
      <c r="B99" s="22" t="s">
        <v>57</v>
      </c>
      <c r="C99" s="21">
        <v>4.2666666666666637E-2</v>
      </c>
      <c r="E99" s="5">
        <v>2.666666666666666E-6</v>
      </c>
      <c r="F99" s="5">
        <v>-8.6935392372334011E-22</v>
      </c>
      <c r="G99" s="5">
        <v>5.3722915250792881E-22</v>
      </c>
      <c r="H99" s="5">
        <v>-9.8650099616118487E-22</v>
      </c>
      <c r="I99" s="5">
        <v>5.333333333333332E-6</v>
      </c>
      <c r="J99" s="5">
        <v>5.3333333333333277E-6</v>
      </c>
      <c r="K99" s="5">
        <v>6.5437622494577348E-22</v>
      </c>
      <c r="L99" s="5">
        <v>5.3333333333333277E-6</v>
      </c>
      <c r="N99" s="17">
        <f>2000</f>
        <v>2000</v>
      </c>
      <c r="P99" s="14">
        <f t="shared" si="8"/>
        <v>0</v>
      </c>
      <c r="Q99" s="14">
        <f t="shared" si="8"/>
        <v>0</v>
      </c>
      <c r="R99" s="14">
        <f t="shared" si="8"/>
        <v>0</v>
      </c>
      <c r="S99" s="14">
        <f t="shared" si="8"/>
        <v>0</v>
      </c>
    </row>
    <row r="100" spans="2:21" x14ac:dyDescent="0.3">
      <c r="B100" s="22" t="s">
        <v>58</v>
      </c>
      <c r="C100" s="21">
        <v>0.14915454785847146</v>
      </c>
      <c r="E100" s="5">
        <v>2.6666666666666639E-6</v>
      </c>
      <c r="F100" s="5">
        <v>1.2782121452513827E-5</v>
      </c>
      <c r="G100" s="5">
        <v>-5.333333333333332E-6</v>
      </c>
      <c r="H100" s="5">
        <v>1.2782121452513827E-5</v>
      </c>
      <c r="I100" s="5">
        <v>5.3333333333333277E-6</v>
      </c>
      <c r="J100" s="5">
        <v>3.0897576238360968E-5</v>
      </c>
      <c r="K100" s="5">
        <v>-5.333333333333332E-6</v>
      </c>
      <c r="L100" s="5">
        <v>3.0897576238360968E-5</v>
      </c>
      <c r="N100" s="17">
        <f>0</f>
        <v>0</v>
      </c>
      <c r="P100" s="14">
        <f t="shared" si="8"/>
        <v>0</v>
      </c>
      <c r="Q100" s="14">
        <f t="shared" si="8"/>
        <v>0</v>
      </c>
      <c r="R100" s="14">
        <f t="shared" si="8"/>
        <v>0</v>
      </c>
      <c r="S100" s="14">
        <f t="shared" si="8"/>
        <v>0</v>
      </c>
    </row>
    <row r="101" spans="2:21" x14ac:dyDescent="0.3">
      <c r="B101" s="22" t="s">
        <v>59</v>
      </c>
      <c r="C101" s="21">
        <v>-5.3333333333333219E-3</v>
      </c>
      <c r="E101" s="5">
        <v>1.867618816923225E-22</v>
      </c>
      <c r="F101" s="5">
        <v>-2.6666666666666673E-6</v>
      </c>
      <c r="G101" s="5">
        <v>2.6666666666666668E-6</v>
      </c>
      <c r="H101" s="5">
        <v>-2.6666666666666677E-6</v>
      </c>
      <c r="I101" s="5">
        <v>3.73523763384645E-22</v>
      </c>
      <c r="J101" s="5">
        <v>-5.3333333333333328E-6</v>
      </c>
      <c r="K101" s="5">
        <v>5.3333333333333337E-6</v>
      </c>
      <c r="L101" s="5">
        <v>-5.3333333333333328E-6</v>
      </c>
      <c r="N101" s="17">
        <f>4000</f>
        <v>4000</v>
      </c>
      <c r="P101" s="14">
        <f t="shared" si="8"/>
        <v>0</v>
      </c>
      <c r="Q101" s="14">
        <f t="shared" si="8"/>
        <v>0</v>
      </c>
      <c r="R101" s="14">
        <f t="shared" si="8"/>
        <v>0</v>
      </c>
      <c r="S101" s="14">
        <f t="shared" si="8"/>
        <v>0</v>
      </c>
    </row>
    <row r="102" spans="2:21" x14ac:dyDescent="0.3">
      <c r="B102" s="22" t="s">
        <v>60</v>
      </c>
      <c r="C102" s="21">
        <v>0.16515454785847147</v>
      </c>
      <c r="E102" s="5">
        <v>2.6666666666666639E-6</v>
      </c>
      <c r="F102" s="5">
        <v>1.2782121452513827E-5</v>
      </c>
      <c r="G102" s="5">
        <v>-5.333333333333332E-6</v>
      </c>
      <c r="H102" s="5">
        <v>1.2782121452513827E-5</v>
      </c>
      <c r="I102" s="5">
        <v>5.3333333333333277E-6</v>
      </c>
      <c r="J102" s="5">
        <v>3.0897576238360968E-5</v>
      </c>
      <c r="K102" s="5">
        <v>-5.333333333333332E-6</v>
      </c>
      <c r="L102" s="5">
        <v>3.3564242905027634E-5</v>
      </c>
      <c r="N102" s="17">
        <f>6000</f>
        <v>6000</v>
      </c>
      <c r="P102" s="14">
        <f t="shared" si="8"/>
        <v>0</v>
      </c>
      <c r="Q102" s="14">
        <f t="shared" si="8"/>
        <v>0</v>
      </c>
      <c r="R102" s="14">
        <f t="shared" si="8"/>
        <v>0</v>
      </c>
      <c r="S102" s="14">
        <f t="shared" si="8"/>
        <v>0</v>
      </c>
    </row>
    <row r="111" spans="2:21" x14ac:dyDescent="0.3">
      <c r="C111" s="36" t="s">
        <v>80</v>
      </c>
      <c r="E111" s="43" t="s">
        <v>81</v>
      </c>
      <c r="F111" s="43"/>
      <c r="G111" s="43"/>
      <c r="H111" s="43"/>
      <c r="I111" s="19"/>
      <c r="J111" s="36" t="s">
        <v>78</v>
      </c>
      <c r="K111" s="19"/>
      <c r="L111" s="43" t="s">
        <v>82</v>
      </c>
      <c r="M111" s="43"/>
      <c r="N111" s="43"/>
      <c r="O111" s="43"/>
      <c r="P111" s="43"/>
      <c r="Q111" s="43"/>
      <c r="R111" s="43"/>
      <c r="S111" s="43"/>
      <c r="T111" s="19"/>
      <c r="U111" s="37" t="s">
        <v>74</v>
      </c>
    </row>
    <row r="112" spans="2:21" x14ac:dyDescent="0.3">
      <c r="B112" s="22" t="s">
        <v>62</v>
      </c>
      <c r="C112" s="6" cm="1">
        <f t="array" ref="C112:C115">MMULT(E112:H115,J112:J115)+MMULT(L112:S115,U112:U119)</f>
        <v>-11999.999999999993</v>
      </c>
      <c r="E112" s="14">
        <f t="shared" ref="E112:H115" si="9">C73</f>
        <v>509250.02617875766</v>
      </c>
      <c r="F112" s="14">
        <f t="shared" si="9"/>
        <v>134250.02617875766</v>
      </c>
      <c r="G112" s="14">
        <f t="shared" si="9"/>
        <v>0</v>
      </c>
      <c r="H112" s="14">
        <f t="shared" si="9"/>
        <v>0</v>
      </c>
      <c r="J112" s="17">
        <f>0</f>
        <v>0</v>
      </c>
      <c r="L112" s="14">
        <f t="shared" ref="L112:S115" si="10">G73</f>
        <v>-375000</v>
      </c>
      <c r="M112" s="14">
        <f t="shared" si="10"/>
        <v>0</v>
      </c>
      <c r="N112" s="14">
        <f t="shared" si="10"/>
        <v>-134250.02617875769</v>
      </c>
      <c r="O112" s="14">
        <f t="shared" si="10"/>
        <v>-134250.02617875766</v>
      </c>
      <c r="P112" s="14">
        <f t="shared" si="10"/>
        <v>0</v>
      </c>
      <c r="Q112" s="14">
        <f t="shared" si="10"/>
        <v>0</v>
      </c>
      <c r="R112" s="14">
        <f t="shared" si="10"/>
        <v>0</v>
      </c>
      <c r="S112" s="14">
        <f t="shared" si="10"/>
        <v>0</v>
      </c>
      <c r="U112" s="21">
        <f t="shared" ref="U112:U119" si="11">C95</f>
        <v>2.1333333333333319E-2</v>
      </c>
    </row>
    <row r="113" spans="2:21" x14ac:dyDescent="0.3">
      <c r="B113" s="22" t="s">
        <v>63</v>
      </c>
      <c r="C113" s="6">
        <v>-3999.9999999999986</v>
      </c>
      <c r="E113" s="14">
        <f t="shared" si="9"/>
        <v>134250.02617875766</v>
      </c>
      <c r="F113" s="14">
        <f t="shared" si="9"/>
        <v>134250.02617875763</v>
      </c>
      <c r="G113" s="14">
        <f t="shared" si="9"/>
        <v>0</v>
      </c>
      <c r="H113" s="14">
        <f t="shared" si="9"/>
        <v>0</v>
      </c>
      <c r="J113" s="17">
        <f>0</f>
        <v>0</v>
      </c>
      <c r="L113" s="14">
        <f t="shared" si="10"/>
        <v>0</v>
      </c>
      <c r="M113" s="14">
        <f t="shared" si="10"/>
        <v>0</v>
      </c>
      <c r="N113" s="14">
        <f t="shared" si="10"/>
        <v>-134250.02617875766</v>
      </c>
      <c r="O113" s="14">
        <f t="shared" si="10"/>
        <v>-134250.02617875763</v>
      </c>
      <c r="P113" s="14">
        <f t="shared" si="10"/>
        <v>0</v>
      </c>
      <c r="Q113" s="14">
        <f t="shared" si="10"/>
        <v>0</v>
      </c>
      <c r="R113" s="14">
        <f t="shared" si="10"/>
        <v>0</v>
      </c>
      <c r="S113" s="14">
        <f t="shared" si="10"/>
        <v>0</v>
      </c>
      <c r="U113" s="21">
        <f t="shared" si="11"/>
        <v>4.0461819143388623E-2</v>
      </c>
    </row>
    <row r="114" spans="2:21" ht="15.6" x14ac:dyDescent="0.3">
      <c r="B114" s="22" t="s">
        <v>64</v>
      </c>
      <c r="C114" s="6">
        <v>5999.9999999999964</v>
      </c>
      <c r="D114" s="29" t="s">
        <v>79</v>
      </c>
      <c r="E114" s="14">
        <f t="shared" si="9"/>
        <v>0</v>
      </c>
      <c r="F114" s="14">
        <f t="shared" si="9"/>
        <v>0</v>
      </c>
      <c r="G114" s="14">
        <f t="shared" si="9"/>
        <v>375000</v>
      </c>
      <c r="H114" s="14">
        <f t="shared" si="9"/>
        <v>0</v>
      </c>
      <c r="I114" s="28" t="s">
        <v>92</v>
      </c>
      <c r="J114" s="17">
        <f>0</f>
        <v>0</v>
      </c>
      <c r="K114" s="30" t="s">
        <v>94</v>
      </c>
      <c r="L114" s="14">
        <f t="shared" si="10"/>
        <v>0</v>
      </c>
      <c r="M114" s="14">
        <f t="shared" si="10"/>
        <v>0</v>
      </c>
      <c r="N114" s="14">
        <f t="shared" si="10"/>
        <v>-375000</v>
      </c>
      <c r="O114" s="14">
        <f t="shared" si="10"/>
        <v>0</v>
      </c>
      <c r="P114" s="14">
        <f t="shared" si="10"/>
        <v>0</v>
      </c>
      <c r="Q114" s="14">
        <f t="shared" si="10"/>
        <v>0</v>
      </c>
      <c r="R114" s="14">
        <f t="shared" si="10"/>
        <v>0</v>
      </c>
      <c r="S114" s="14">
        <f t="shared" si="10"/>
        <v>0</v>
      </c>
      <c r="T114" s="20" t="s">
        <v>92</v>
      </c>
      <c r="U114" s="21">
        <f t="shared" si="11"/>
        <v>-1.599999999999999E-2</v>
      </c>
    </row>
    <row r="115" spans="2:21" x14ac:dyDescent="0.3">
      <c r="B115" s="22" t="s">
        <v>65</v>
      </c>
      <c r="C115" s="6">
        <v>0</v>
      </c>
      <c r="E115" s="14">
        <f t="shared" si="9"/>
        <v>0</v>
      </c>
      <c r="F115" s="14">
        <f t="shared" si="9"/>
        <v>0</v>
      </c>
      <c r="G115" s="14">
        <f t="shared" si="9"/>
        <v>0</v>
      </c>
      <c r="H115" s="14">
        <f t="shared" si="9"/>
        <v>0</v>
      </c>
      <c r="J115" s="17">
        <f>0</f>
        <v>0</v>
      </c>
      <c r="L115" s="14">
        <f t="shared" si="10"/>
        <v>0</v>
      </c>
      <c r="M115" s="14">
        <f t="shared" si="10"/>
        <v>0</v>
      </c>
      <c r="N115" s="14">
        <f t="shared" si="10"/>
        <v>0</v>
      </c>
      <c r="O115" s="14">
        <f t="shared" si="10"/>
        <v>0</v>
      </c>
      <c r="P115" s="14">
        <f t="shared" si="10"/>
        <v>0</v>
      </c>
      <c r="Q115" s="14">
        <f t="shared" si="10"/>
        <v>0</v>
      </c>
      <c r="R115" s="14">
        <f t="shared" si="10"/>
        <v>0</v>
      </c>
      <c r="S115" s="14">
        <f t="shared" si="10"/>
        <v>0</v>
      </c>
      <c r="U115" s="21">
        <f t="shared" si="11"/>
        <v>4.5795152476721952E-2</v>
      </c>
    </row>
    <row r="116" spans="2:21" x14ac:dyDescent="0.3">
      <c r="U116" s="21">
        <f t="shared" si="11"/>
        <v>4.2666666666666637E-2</v>
      </c>
    </row>
    <row r="117" spans="2:21" x14ac:dyDescent="0.3">
      <c r="U117" s="21">
        <f t="shared" si="11"/>
        <v>0.14915454785847146</v>
      </c>
    </row>
    <row r="118" spans="2:21" x14ac:dyDescent="0.3">
      <c r="U118" s="21">
        <f t="shared" si="11"/>
        <v>-5.3333333333333219E-3</v>
      </c>
    </row>
    <row r="119" spans="2:21" x14ac:dyDescent="0.3">
      <c r="U119" s="21">
        <f t="shared" si="11"/>
        <v>0.16515454785847147</v>
      </c>
    </row>
    <row r="121" spans="2:21" x14ac:dyDescent="0.3">
      <c r="D121" s="45" t="s">
        <v>85</v>
      </c>
      <c r="E121" s="45"/>
      <c r="F121" s="45"/>
      <c r="G121" s="45"/>
      <c r="H121" s="45"/>
    </row>
    <row r="122" spans="2:21" x14ac:dyDescent="0.3">
      <c r="D122" s="44" t="s">
        <v>83</v>
      </c>
      <c r="E122" s="44"/>
      <c r="F122" s="44"/>
      <c r="G122" s="6">
        <f>C112+C114+S77+S79+S81+S83</f>
        <v>3.637978807091713E-12</v>
      </c>
      <c r="H122" s="1" t="str">
        <f>IF(G122&lt;0.0000001,"OK","NOK!")</f>
        <v>OK</v>
      </c>
    </row>
    <row r="123" spans="2:21" x14ac:dyDescent="0.3">
      <c r="D123" s="44" t="s">
        <v>84</v>
      </c>
      <c r="E123" s="44"/>
      <c r="F123" s="44"/>
      <c r="G123" s="6">
        <f>C113+C115+S78+S80+S82+S84</f>
        <v>0</v>
      </c>
      <c r="H123" s="1" t="str">
        <f>IF(G123&lt;0.0000001,"OK","NOK!")</f>
        <v>OK</v>
      </c>
    </row>
    <row r="131" spans="3:11" ht="18" x14ac:dyDescent="0.3">
      <c r="C131" s="1"/>
      <c r="D131" s="2" t="s">
        <v>86</v>
      </c>
      <c r="E131" s="3" t="s">
        <v>87</v>
      </c>
      <c r="F131" s="3" t="s">
        <v>88</v>
      </c>
      <c r="G131" s="3" t="s">
        <v>11</v>
      </c>
      <c r="H131" s="3" t="s">
        <v>89</v>
      </c>
      <c r="I131" s="2" t="s">
        <v>10</v>
      </c>
      <c r="J131" s="4" t="s">
        <v>90</v>
      </c>
      <c r="K131" s="4" t="s">
        <v>91</v>
      </c>
    </row>
    <row r="132" spans="3:11" ht="15.6" x14ac:dyDescent="0.3">
      <c r="C132" s="3" t="s">
        <v>0</v>
      </c>
      <c r="D132" s="24">
        <f>(P73*COS(B15))+(P74*SIN(B15))</f>
        <v>0</v>
      </c>
      <c r="E132" s="25">
        <f>(C95*COS(B15))+(C96*SIN(B15))</f>
        <v>2.1333333333333319E-2</v>
      </c>
      <c r="F132" s="27">
        <f>E132-D132</f>
        <v>2.1333333333333319E-2</v>
      </c>
      <c r="G132" s="25">
        <f t="shared" ref="G132:G139" si="12">E15</f>
        <v>40</v>
      </c>
      <c r="H132" s="5">
        <f>F132/G132</f>
        <v>5.3333333333333293E-4</v>
      </c>
      <c r="I132" s="5">
        <f t="shared" ref="I132:I139" si="13">D15</f>
        <v>10000000</v>
      </c>
      <c r="J132" s="6">
        <f>H132*I132</f>
        <v>5333.3333333333294</v>
      </c>
      <c r="K132" s="6">
        <f t="shared" ref="K132:K139" si="14">J132*C15</f>
        <v>7999.9999999999945</v>
      </c>
    </row>
    <row r="133" spans="3:11" ht="15.6" x14ac:dyDescent="0.3">
      <c r="C133" s="3" t="s">
        <v>1</v>
      </c>
      <c r="D133" s="26">
        <f>(P73*COS(B16))+(P74*SIN(B16))</f>
        <v>0</v>
      </c>
      <c r="E133" s="25">
        <f>(C97*COS(B16))+(C98*SIN(B16))</f>
        <v>2.106835436277725E-2</v>
      </c>
      <c r="F133" s="27">
        <f t="shared" ref="F133:F139" si="15">E133-D133</f>
        <v>2.106835436277725E-2</v>
      </c>
      <c r="G133" s="25">
        <f t="shared" si="12"/>
        <v>55.865910893853687</v>
      </c>
      <c r="H133" s="5">
        <f t="shared" ref="H133:H139" si="16">F133/G133</f>
        <v>3.7712361663282519E-4</v>
      </c>
      <c r="I133" s="5">
        <f t="shared" si="13"/>
        <v>10000000</v>
      </c>
      <c r="J133" s="6">
        <f t="shared" ref="J133:J139" si="17">H133*I133</f>
        <v>3771.2361663282518</v>
      </c>
      <c r="K133" s="6">
        <f t="shared" si="14"/>
        <v>5656.8542494923777</v>
      </c>
    </row>
    <row r="134" spans="3:11" ht="15.6" x14ac:dyDescent="0.3">
      <c r="C134" s="3" t="s">
        <v>2</v>
      </c>
      <c r="D134" s="25">
        <f>(P75*COS(B17))+(P76*SIN(B17))</f>
        <v>0</v>
      </c>
      <c r="E134" s="25">
        <f>(C97*COS(B17))+(C98*SIN(B17))</f>
        <v>-1.599999999999999E-2</v>
      </c>
      <c r="F134" s="27">
        <f t="shared" si="15"/>
        <v>-1.599999999999999E-2</v>
      </c>
      <c r="G134" s="25">
        <f t="shared" si="12"/>
        <v>40</v>
      </c>
      <c r="H134" s="5">
        <f t="shared" si="16"/>
        <v>-3.9999999999999975E-4</v>
      </c>
      <c r="I134" s="5">
        <f t="shared" si="13"/>
        <v>10000000</v>
      </c>
      <c r="J134" s="6">
        <f t="shared" si="17"/>
        <v>-3999.9999999999973</v>
      </c>
      <c r="K134" s="6">
        <f t="shared" si="14"/>
        <v>-5999.9999999999964</v>
      </c>
    </row>
    <row r="135" spans="3:11" ht="15.6" x14ac:dyDescent="0.3">
      <c r="C135" s="3" t="s">
        <v>3</v>
      </c>
      <c r="D135" s="25">
        <f>(C95*COS(B18))+(C96*SIN(B18))</f>
        <v>4.0461819143388623E-2</v>
      </c>
      <c r="E135" s="25">
        <f>(C97*COS(B18))+(C98*SIN(B18))</f>
        <v>4.5795152476721952E-2</v>
      </c>
      <c r="F135" s="27">
        <f t="shared" si="15"/>
        <v>5.3333333333333288E-3</v>
      </c>
      <c r="G135" s="25">
        <f t="shared" si="12"/>
        <v>40</v>
      </c>
      <c r="H135" s="5">
        <f t="shared" si="16"/>
        <v>1.3333333333333323E-4</v>
      </c>
      <c r="I135" s="5">
        <f t="shared" si="13"/>
        <v>10000000</v>
      </c>
      <c r="J135" s="6">
        <f t="shared" si="17"/>
        <v>1333.3333333333323</v>
      </c>
      <c r="K135" s="6">
        <f t="shared" si="14"/>
        <v>1999.9999999999986</v>
      </c>
    </row>
    <row r="136" spans="3:11" ht="15.6" x14ac:dyDescent="0.3">
      <c r="C136" s="3" t="s">
        <v>4</v>
      </c>
      <c r="D136" s="25">
        <f>(C95*COS(B19))+(C96*SIN(B19))</f>
        <v>2.1333333333333319E-2</v>
      </c>
      <c r="E136" s="25">
        <f>(C99*COS(B19))+(C100*SIN(B19))</f>
        <v>4.2666666666666637E-2</v>
      </c>
      <c r="F136" s="27">
        <f t="shared" si="15"/>
        <v>2.1333333333333319E-2</v>
      </c>
      <c r="G136" s="25">
        <f t="shared" si="12"/>
        <v>40</v>
      </c>
      <c r="H136" s="5">
        <f t="shared" si="16"/>
        <v>5.3333333333333293E-4</v>
      </c>
      <c r="I136" s="5">
        <f t="shared" si="13"/>
        <v>10000000</v>
      </c>
      <c r="J136" s="6">
        <f t="shared" si="17"/>
        <v>5333.3333333333294</v>
      </c>
      <c r="K136" s="6">
        <f t="shared" si="14"/>
        <v>7999.9999999999945</v>
      </c>
    </row>
    <row r="137" spans="3:11" ht="15.6" x14ac:dyDescent="0.3">
      <c r="C137" s="3" t="s">
        <v>5</v>
      </c>
      <c r="D137" s="25">
        <f>(C99*COS(B20))+(C100*SIN(B20))</f>
        <v>-7.5298302904912628E-2</v>
      </c>
      <c r="E137" s="25">
        <f>(C97*COS(B20))+(C98*SIN(B20))</f>
        <v>-4.3695771360746767E-2</v>
      </c>
      <c r="F137" s="27">
        <f t="shared" si="15"/>
        <v>3.1602531544165861E-2</v>
      </c>
      <c r="G137" s="25">
        <f t="shared" si="12"/>
        <v>55.865910893853687</v>
      </c>
      <c r="H137" s="5">
        <f t="shared" si="16"/>
        <v>5.6568542494923749E-4</v>
      </c>
      <c r="I137" s="5">
        <f t="shared" si="13"/>
        <v>10000000</v>
      </c>
      <c r="J137" s="6">
        <f t="shared" si="17"/>
        <v>5656.8542494923749</v>
      </c>
      <c r="K137" s="6">
        <f t="shared" si="14"/>
        <v>8485.2813742385624</v>
      </c>
    </row>
    <row r="138" spans="3:11" ht="15.6" x14ac:dyDescent="0.3">
      <c r="C138" s="3" t="s">
        <v>6</v>
      </c>
      <c r="D138" s="25">
        <f>(C97*COS(B21))+(C98*SIN(B21))</f>
        <v>-1.599999999999999E-2</v>
      </c>
      <c r="E138" s="25">
        <f>(C101*COS(B21))+(C102*SIN(B21))</f>
        <v>-5.3333333333333219E-3</v>
      </c>
      <c r="F138" s="27">
        <f t="shared" si="15"/>
        <v>1.0666666666666668E-2</v>
      </c>
      <c r="G138" s="25">
        <f t="shared" si="12"/>
        <v>40</v>
      </c>
      <c r="H138" s="5">
        <f t="shared" si="16"/>
        <v>2.6666666666666668E-4</v>
      </c>
      <c r="I138" s="5">
        <f t="shared" si="13"/>
        <v>10000000</v>
      </c>
      <c r="J138" s="6">
        <f t="shared" si="17"/>
        <v>2666.666666666667</v>
      </c>
      <c r="K138" s="6">
        <f t="shared" si="14"/>
        <v>4000.0000000000005</v>
      </c>
    </row>
    <row r="139" spans="3:11" ht="15.6" x14ac:dyDescent="0.3">
      <c r="C139" s="3" t="s">
        <v>7</v>
      </c>
      <c r="D139" s="25">
        <f>(C99*COS(B22))+(C100*SIN(B22))</f>
        <v>0.14915454785847146</v>
      </c>
      <c r="E139" s="25">
        <f>(C101*COS(B22))+(C102*SIN(B22))</f>
        <v>0.16515454785847147</v>
      </c>
      <c r="F139" s="27">
        <f t="shared" si="15"/>
        <v>1.6000000000000014E-2</v>
      </c>
      <c r="G139" s="25">
        <f t="shared" si="12"/>
        <v>40</v>
      </c>
      <c r="H139" s="5">
        <f t="shared" si="16"/>
        <v>4.0000000000000034E-4</v>
      </c>
      <c r="I139" s="5">
        <f t="shared" si="13"/>
        <v>10000000</v>
      </c>
      <c r="J139" s="6">
        <f t="shared" si="17"/>
        <v>4000.0000000000036</v>
      </c>
      <c r="K139" s="6">
        <f t="shared" si="14"/>
        <v>6000.0000000000055</v>
      </c>
    </row>
    <row r="150" spans="24:24" x14ac:dyDescent="0.3">
      <c r="X150" t="s">
        <v>95</v>
      </c>
    </row>
  </sheetData>
  <mergeCells count="16">
    <mergeCell ref="D122:F122"/>
    <mergeCell ref="D123:F123"/>
    <mergeCell ref="D121:H121"/>
    <mergeCell ref="B71:N71"/>
    <mergeCell ref="E94:L94"/>
    <mergeCell ref="P94:S94"/>
    <mergeCell ref="E111:H111"/>
    <mergeCell ref="L111:S111"/>
    <mergeCell ref="H47:K47"/>
    <mergeCell ref="H54:K54"/>
    <mergeCell ref="H62:K62"/>
    <mergeCell ref="B40:E40"/>
    <mergeCell ref="H40:K40"/>
    <mergeCell ref="B47:E47"/>
    <mergeCell ref="B54:E54"/>
    <mergeCell ref="B62:E62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 Amine</dc:creator>
  <cp:lastModifiedBy>Med Amine</cp:lastModifiedBy>
  <dcterms:created xsi:type="dcterms:W3CDTF">2026-04-21T06:54:14Z</dcterms:created>
  <dcterms:modified xsi:type="dcterms:W3CDTF">2026-08-01T06:36:46Z</dcterms:modified>
</cp:coreProperties>
</file>